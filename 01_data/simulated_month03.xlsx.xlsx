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PRIME.SHOP\Documents\003-sacco_credit_analysis\01_data\"/>
    </mc:Choice>
  </mc:AlternateContent>
  <xr:revisionPtr revIDLastSave="0" documentId="13_ncr:1_{C5E864E2-12B3-4847-9A31-5DD3DE74EC0E}" xr6:coauthVersionLast="47" xr6:coauthVersionMax="47" xr10:uidLastSave="{00000000-0000-0000-0000-000000000000}"/>
  <bookViews>
    <workbookView xWindow="900" yWindow="1995" windowWidth="7695" windowHeight="7875" xr2:uid="{00000000-000D-0000-FFFF-FFFF00000000}"/>
  </bookViews>
  <sheets>
    <sheet name="Risk_Summary_M03" sheetId="3" r:id="rId1"/>
    <sheet name="Repayment_M03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 s="1"/>
  <c r="E2" i="3"/>
  <c r="G2" i="3"/>
  <c r="B3" i="3"/>
  <c r="C3" i="3"/>
  <c r="D3" i="3" s="1"/>
  <c r="E3" i="3"/>
  <c r="G3" i="3"/>
  <c r="B4" i="3"/>
  <c r="C4" i="3"/>
  <c r="D4" i="3" s="1"/>
  <c r="E4" i="3"/>
  <c r="G4" i="3"/>
  <c r="B5" i="3"/>
  <c r="C5" i="3"/>
  <c r="D5" i="3" s="1"/>
  <c r="E5" i="3"/>
  <c r="G5" i="3"/>
  <c r="B6" i="3"/>
  <c r="C6" i="3"/>
  <c r="D6" i="3" s="1"/>
  <c r="E6" i="3"/>
  <c r="G6" i="3"/>
  <c r="B7" i="3"/>
  <c r="C7" i="3"/>
  <c r="D7" i="3" s="1"/>
  <c r="E7" i="3"/>
  <c r="G7" i="3"/>
  <c r="B8" i="3"/>
  <c r="C8" i="3"/>
  <c r="D8" i="3" s="1"/>
  <c r="E8" i="3"/>
  <c r="G8" i="3"/>
  <c r="B9" i="3"/>
  <c r="C9" i="3"/>
  <c r="D9" i="3" s="1"/>
  <c r="E9" i="3"/>
  <c r="G9" i="3"/>
  <c r="B10" i="3"/>
  <c r="C10" i="3"/>
  <c r="D10" i="3" s="1"/>
  <c r="E10" i="3"/>
  <c r="G10" i="3"/>
  <c r="B11" i="3"/>
  <c r="C11" i="3"/>
  <c r="D11" i="3" s="1"/>
  <c r="F11" i="3" s="1"/>
  <c r="E11" i="3"/>
  <c r="G11" i="3"/>
  <c r="B12" i="3"/>
  <c r="C12" i="3"/>
  <c r="D12" i="3" s="1"/>
  <c r="F12" i="3" s="1"/>
  <c r="E12" i="3"/>
  <c r="G12" i="3"/>
  <c r="B13" i="3"/>
  <c r="C13" i="3"/>
  <c r="D13" i="3" s="1"/>
  <c r="F13" i="3" s="1"/>
  <c r="E13" i="3"/>
  <c r="G13" i="3"/>
  <c r="B14" i="3"/>
  <c r="C14" i="3"/>
  <c r="D14" i="3" s="1"/>
  <c r="F14" i="3" s="1"/>
  <c r="E14" i="3"/>
  <c r="G14" i="3"/>
  <c r="B15" i="3"/>
  <c r="C15" i="3"/>
  <c r="D15" i="3" s="1"/>
  <c r="F15" i="3" s="1"/>
  <c r="E15" i="3"/>
  <c r="G15" i="3"/>
  <c r="B16" i="3"/>
  <c r="C16" i="3"/>
  <c r="D16" i="3" s="1"/>
  <c r="F16" i="3" s="1"/>
  <c r="E16" i="3"/>
  <c r="G16" i="3"/>
  <c r="B17" i="3"/>
  <c r="C17" i="3"/>
  <c r="D17" i="3" s="1"/>
  <c r="F17" i="3" s="1"/>
  <c r="E17" i="3"/>
  <c r="G17" i="3"/>
  <c r="B18" i="3"/>
  <c r="C18" i="3"/>
  <c r="D18" i="3" s="1"/>
  <c r="F18" i="3" s="1"/>
  <c r="E18" i="3"/>
  <c r="G18" i="3"/>
  <c r="B19" i="3"/>
  <c r="C19" i="3"/>
  <c r="D19" i="3" s="1"/>
  <c r="F19" i="3" s="1"/>
  <c r="E19" i="3"/>
  <c r="G19" i="3"/>
  <c r="B20" i="3"/>
  <c r="C20" i="3"/>
  <c r="D20" i="3" s="1"/>
  <c r="F20" i="3" s="1"/>
  <c r="E20" i="3"/>
  <c r="G20" i="3"/>
  <c r="B21" i="3"/>
  <c r="C21" i="3"/>
  <c r="D21" i="3" s="1"/>
  <c r="F21" i="3" s="1"/>
  <c r="E21" i="3"/>
  <c r="G21" i="3"/>
  <c r="B22" i="3"/>
  <c r="C22" i="3"/>
  <c r="D22" i="3" s="1"/>
  <c r="F22" i="3" s="1"/>
  <c r="E22" i="3"/>
  <c r="G22" i="3"/>
  <c r="B23" i="3"/>
  <c r="C23" i="3"/>
  <c r="D23" i="3" s="1"/>
  <c r="F23" i="3" s="1"/>
  <c r="E23" i="3"/>
  <c r="G23" i="3"/>
  <c r="B24" i="3"/>
  <c r="C24" i="3"/>
  <c r="D24" i="3" s="1"/>
  <c r="F24" i="3" s="1"/>
  <c r="E24" i="3"/>
  <c r="G24" i="3"/>
  <c r="B25" i="3"/>
  <c r="C25" i="3"/>
  <c r="D25" i="3" s="1"/>
  <c r="F25" i="3" s="1"/>
  <c r="E25" i="3"/>
  <c r="G25" i="3"/>
  <c r="B26" i="3"/>
  <c r="C26" i="3"/>
  <c r="D26" i="3" s="1"/>
  <c r="F26" i="3" s="1"/>
  <c r="E26" i="3"/>
  <c r="G26" i="3"/>
  <c r="B27" i="3"/>
  <c r="C27" i="3"/>
  <c r="D27" i="3" s="1"/>
  <c r="F27" i="3" s="1"/>
  <c r="E27" i="3"/>
  <c r="G27" i="3"/>
  <c r="B28" i="3"/>
  <c r="C28" i="3"/>
  <c r="D28" i="3" s="1"/>
  <c r="F28" i="3" s="1"/>
  <c r="E28" i="3"/>
  <c r="G28" i="3"/>
  <c r="B29" i="3"/>
  <c r="C29" i="3"/>
  <c r="D29" i="3" s="1"/>
  <c r="F29" i="3" s="1"/>
  <c r="E29" i="3"/>
  <c r="G29" i="3"/>
  <c r="B30" i="3"/>
  <c r="C30" i="3"/>
  <c r="D30" i="3" s="1"/>
  <c r="F30" i="3" s="1"/>
  <c r="E30" i="3"/>
  <c r="G30" i="3"/>
  <c r="B31" i="3"/>
  <c r="C31" i="3"/>
  <c r="D31" i="3" s="1"/>
  <c r="F31" i="3" s="1"/>
  <c r="E31" i="3"/>
  <c r="G31" i="3"/>
  <c r="B32" i="3"/>
  <c r="C32" i="3"/>
  <c r="D32" i="3" s="1"/>
  <c r="F32" i="3" s="1"/>
  <c r="E32" i="3"/>
  <c r="G32" i="3"/>
  <c r="B33" i="3"/>
  <c r="C33" i="3"/>
  <c r="D33" i="3" s="1"/>
  <c r="F33" i="3" s="1"/>
  <c r="E33" i="3"/>
  <c r="G33" i="3"/>
  <c r="B34" i="3"/>
  <c r="C34" i="3"/>
  <c r="D34" i="3" s="1"/>
  <c r="F34" i="3" s="1"/>
  <c r="E34" i="3"/>
  <c r="G34" i="3"/>
  <c r="B35" i="3"/>
  <c r="C35" i="3"/>
  <c r="D35" i="3" s="1"/>
  <c r="F35" i="3" s="1"/>
  <c r="E35" i="3"/>
  <c r="G35" i="3"/>
  <c r="B36" i="3"/>
  <c r="C36" i="3"/>
  <c r="D36" i="3" s="1"/>
  <c r="F36" i="3" s="1"/>
  <c r="E36" i="3"/>
  <c r="G36" i="3"/>
  <c r="B37" i="3"/>
  <c r="C37" i="3"/>
  <c r="D37" i="3" s="1"/>
  <c r="F37" i="3" s="1"/>
  <c r="E37" i="3"/>
  <c r="G37" i="3"/>
  <c r="B38" i="3"/>
  <c r="C38" i="3"/>
  <c r="D38" i="3" s="1"/>
  <c r="F38" i="3" s="1"/>
  <c r="E38" i="3"/>
  <c r="G38" i="3"/>
  <c r="B39" i="3"/>
  <c r="C39" i="3"/>
  <c r="D39" i="3" s="1"/>
  <c r="F39" i="3" s="1"/>
  <c r="E39" i="3"/>
  <c r="G39" i="3"/>
  <c r="B40" i="3"/>
  <c r="C40" i="3"/>
  <c r="D40" i="3" s="1"/>
  <c r="F40" i="3" s="1"/>
  <c r="E40" i="3"/>
  <c r="G40" i="3"/>
  <c r="B41" i="3"/>
  <c r="C41" i="3"/>
  <c r="D41" i="3" s="1"/>
  <c r="F41" i="3" s="1"/>
  <c r="E41" i="3"/>
  <c r="G41" i="3"/>
  <c r="B42" i="3"/>
  <c r="C42" i="3"/>
  <c r="D42" i="3" s="1"/>
  <c r="F42" i="3" s="1"/>
  <c r="E42" i="3"/>
  <c r="G42" i="3"/>
  <c r="B43" i="3"/>
  <c r="C43" i="3"/>
  <c r="D43" i="3" s="1"/>
  <c r="F43" i="3" s="1"/>
  <c r="E43" i="3"/>
  <c r="G43" i="3"/>
  <c r="B44" i="3"/>
  <c r="C44" i="3"/>
  <c r="D44" i="3" s="1"/>
  <c r="E44" i="3"/>
  <c r="F44" i="3"/>
  <c r="G44" i="3"/>
  <c r="B45" i="3"/>
  <c r="C45" i="3"/>
  <c r="D45" i="3"/>
  <c r="E45" i="3"/>
  <c r="F45" i="3"/>
  <c r="G45" i="3"/>
  <c r="B46" i="3"/>
  <c r="C46" i="3"/>
  <c r="D46" i="3"/>
  <c r="E46" i="3"/>
  <c r="F46" i="3"/>
  <c r="G46" i="3"/>
  <c r="B47" i="3"/>
  <c r="C47" i="3"/>
  <c r="D47" i="3"/>
  <c r="E47" i="3"/>
  <c r="F47" i="3"/>
  <c r="G47" i="3"/>
  <c r="B48" i="3"/>
  <c r="C48" i="3"/>
  <c r="D48" i="3"/>
  <c r="E48" i="3"/>
  <c r="F48" i="3"/>
  <c r="G48" i="3"/>
  <c r="B49" i="3"/>
  <c r="C49" i="3"/>
  <c r="D49" i="3"/>
  <c r="E49" i="3"/>
  <c r="F49" i="3"/>
  <c r="G49" i="3"/>
  <c r="B50" i="3"/>
  <c r="C50" i="3"/>
  <c r="D50" i="3"/>
  <c r="E50" i="3"/>
  <c r="F50" i="3"/>
  <c r="G50" i="3"/>
  <c r="B51" i="3"/>
  <c r="C51" i="3"/>
  <c r="D51" i="3"/>
  <c r="E51" i="3"/>
  <c r="F51" i="3"/>
  <c r="G51" i="3"/>
  <c r="B52" i="3"/>
  <c r="C52" i="3"/>
  <c r="E52" i="3"/>
  <c r="G52" i="3"/>
  <c r="B53" i="3"/>
  <c r="C53" i="3"/>
  <c r="E53" i="3"/>
  <c r="G53" i="3"/>
  <c r="B54" i="3"/>
  <c r="C54" i="3"/>
  <c r="E54" i="3"/>
  <c r="G54" i="3"/>
  <c r="B55" i="3"/>
  <c r="C55" i="3"/>
  <c r="E55" i="3"/>
  <c r="G55" i="3"/>
  <c r="B56" i="3"/>
  <c r="C56" i="3"/>
  <c r="E56" i="3"/>
  <c r="G56" i="3"/>
  <c r="B57" i="3"/>
  <c r="C57" i="3"/>
  <c r="E57" i="3"/>
  <c r="G57" i="3"/>
  <c r="B58" i="3"/>
  <c r="C58" i="3"/>
  <c r="E58" i="3"/>
  <c r="G58" i="3"/>
  <c r="B59" i="3"/>
  <c r="C59" i="3"/>
  <c r="E59" i="3"/>
  <c r="G59" i="3"/>
  <c r="B60" i="3"/>
  <c r="C60" i="3"/>
  <c r="E60" i="3"/>
  <c r="G60" i="3"/>
  <c r="B61" i="3"/>
  <c r="C61" i="3"/>
  <c r="E61" i="3"/>
  <c r="G61" i="3"/>
  <c r="B62" i="3"/>
  <c r="C62" i="3"/>
  <c r="E62" i="3"/>
  <c r="G62" i="3"/>
  <c r="B63" i="3"/>
  <c r="C63" i="3"/>
  <c r="E63" i="3"/>
  <c r="G63" i="3"/>
  <c r="B64" i="3"/>
  <c r="C64" i="3"/>
  <c r="E64" i="3"/>
  <c r="G64" i="3"/>
  <c r="B65" i="3"/>
  <c r="C65" i="3"/>
  <c r="E65" i="3"/>
  <c r="G65" i="3"/>
  <c r="B66" i="3"/>
  <c r="C66" i="3"/>
  <c r="E66" i="3"/>
  <c r="G66" i="3"/>
  <c r="B67" i="3"/>
  <c r="C67" i="3"/>
  <c r="E67" i="3"/>
  <c r="G67" i="3"/>
  <c r="B68" i="3"/>
  <c r="C68" i="3"/>
  <c r="E68" i="3"/>
  <c r="G68" i="3"/>
  <c r="B69" i="3"/>
  <c r="C69" i="3"/>
  <c r="E69" i="3"/>
  <c r="G69" i="3"/>
  <c r="B70" i="3"/>
  <c r="C70" i="3"/>
  <c r="E70" i="3"/>
  <c r="G70" i="3"/>
  <c r="B71" i="3"/>
  <c r="C71" i="3"/>
  <c r="E71" i="3"/>
  <c r="G71" i="3"/>
  <c r="B72" i="3"/>
  <c r="C72" i="3"/>
  <c r="E72" i="3"/>
  <c r="G72" i="3"/>
  <c r="B73" i="3"/>
  <c r="C73" i="3"/>
  <c r="E73" i="3"/>
  <c r="G73" i="3"/>
  <c r="B74" i="3"/>
  <c r="C74" i="3"/>
  <c r="E74" i="3"/>
  <c r="G74" i="3"/>
  <c r="B75" i="3"/>
  <c r="C75" i="3"/>
  <c r="E75" i="3"/>
  <c r="G75" i="3"/>
  <c r="B76" i="3"/>
  <c r="C76" i="3"/>
  <c r="E76" i="3"/>
  <c r="G76" i="3"/>
  <c r="B77" i="3"/>
  <c r="C77" i="3"/>
  <c r="E77" i="3"/>
  <c r="G77" i="3"/>
  <c r="B78" i="3"/>
  <c r="C78" i="3"/>
  <c r="E78" i="3"/>
  <c r="G78" i="3"/>
  <c r="B79" i="3"/>
  <c r="C79" i="3"/>
  <c r="E79" i="3"/>
  <c r="G79" i="3"/>
  <c r="B80" i="3"/>
  <c r="C80" i="3"/>
  <c r="E80" i="3"/>
  <c r="G80" i="3"/>
  <c r="B81" i="3"/>
  <c r="C81" i="3"/>
  <c r="E81" i="3"/>
  <c r="G81" i="3"/>
  <c r="B82" i="3"/>
  <c r="C82" i="3"/>
  <c r="E82" i="3"/>
  <c r="G82" i="3"/>
  <c r="B83" i="3"/>
  <c r="C83" i="3"/>
  <c r="E83" i="3"/>
  <c r="G83" i="3"/>
  <c r="B84" i="3"/>
  <c r="C84" i="3"/>
  <c r="E84" i="3"/>
  <c r="G84" i="3"/>
  <c r="B85" i="3"/>
  <c r="C85" i="3"/>
  <c r="E85" i="3"/>
  <c r="G85" i="3"/>
  <c r="B86" i="3"/>
  <c r="C86" i="3"/>
  <c r="E86" i="3"/>
  <c r="G86" i="3"/>
  <c r="B87" i="3"/>
  <c r="C87" i="3"/>
  <c r="E87" i="3"/>
  <c r="G87" i="3"/>
  <c r="B88" i="3"/>
  <c r="C88" i="3"/>
  <c r="E88" i="3"/>
  <c r="G88" i="3"/>
  <c r="B89" i="3"/>
  <c r="C89" i="3"/>
  <c r="E89" i="3"/>
  <c r="G89" i="3"/>
  <c r="B90" i="3"/>
  <c r="C90" i="3"/>
  <c r="E90" i="3"/>
  <c r="G90" i="3"/>
  <c r="B91" i="3"/>
  <c r="C91" i="3"/>
  <c r="E91" i="3"/>
  <c r="G91" i="3"/>
  <c r="B92" i="3"/>
  <c r="C92" i="3"/>
  <c r="E92" i="3"/>
  <c r="G92" i="3"/>
  <c r="B93" i="3"/>
  <c r="C93" i="3"/>
  <c r="E93" i="3"/>
  <c r="G93" i="3"/>
  <c r="B94" i="3"/>
  <c r="C94" i="3"/>
  <c r="E94" i="3"/>
  <c r="G94" i="3"/>
  <c r="B95" i="3"/>
  <c r="C95" i="3"/>
  <c r="E95" i="3"/>
  <c r="G95" i="3"/>
  <c r="B96" i="3"/>
  <c r="C96" i="3"/>
  <c r="E96" i="3"/>
  <c r="G96" i="3"/>
  <c r="B97" i="3"/>
  <c r="C97" i="3"/>
  <c r="E97" i="3"/>
  <c r="G97" i="3"/>
  <c r="B98" i="3"/>
  <c r="C98" i="3"/>
  <c r="E98" i="3"/>
  <c r="G98" i="3"/>
  <c r="B99" i="3"/>
  <c r="C99" i="3"/>
  <c r="E99" i="3"/>
  <c r="G99" i="3"/>
  <c r="B100" i="3"/>
  <c r="C100" i="3"/>
  <c r="E100" i="3"/>
  <c r="G100" i="3"/>
  <c r="B101" i="3"/>
  <c r="C101" i="3"/>
  <c r="E101" i="3"/>
  <c r="G101" i="3"/>
  <c r="B102" i="3"/>
  <c r="C102" i="3"/>
  <c r="E102" i="3"/>
  <c r="G102" i="3"/>
  <c r="B103" i="3"/>
  <c r="C103" i="3"/>
  <c r="E103" i="3"/>
  <c r="G103" i="3"/>
  <c r="B104" i="3"/>
  <c r="C104" i="3"/>
  <c r="E104" i="3"/>
  <c r="G104" i="3"/>
  <c r="B105" i="3"/>
  <c r="C105" i="3"/>
  <c r="E105" i="3"/>
  <c r="G105" i="3"/>
  <c r="B106" i="3"/>
  <c r="C106" i="3"/>
  <c r="E106" i="3"/>
  <c r="G106" i="3"/>
  <c r="B107" i="3"/>
  <c r="C107" i="3"/>
  <c r="E107" i="3"/>
  <c r="G107" i="3"/>
  <c r="B108" i="3"/>
  <c r="C108" i="3"/>
  <c r="E108" i="3"/>
  <c r="G108" i="3"/>
  <c r="B109" i="3"/>
  <c r="C109" i="3"/>
  <c r="E109" i="3"/>
  <c r="G109" i="3"/>
  <c r="B110" i="3"/>
  <c r="C110" i="3"/>
  <c r="E110" i="3"/>
  <c r="G110" i="3"/>
  <c r="B111" i="3"/>
  <c r="C111" i="3"/>
  <c r="E111" i="3"/>
  <c r="G111" i="3"/>
  <c r="B112" i="3"/>
  <c r="C112" i="3"/>
  <c r="E112" i="3"/>
  <c r="G112" i="3"/>
  <c r="B113" i="3"/>
  <c r="C113" i="3"/>
  <c r="E113" i="3"/>
  <c r="G113" i="3"/>
  <c r="B114" i="3"/>
  <c r="C114" i="3"/>
  <c r="E114" i="3"/>
  <c r="G114" i="3"/>
  <c r="B115" i="3"/>
  <c r="C115" i="3"/>
  <c r="E115" i="3"/>
  <c r="G115" i="3"/>
  <c r="B116" i="3"/>
  <c r="C116" i="3"/>
  <c r="E116" i="3"/>
  <c r="G116" i="3"/>
  <c r="B117" i="3"/>
  <c r="C117" i="3"/>
  <c r="E117" i="3"/>
  <c r="G117" i="3"/>
  <c r="B118" i="3"/>
  <c r="C118" i="3"/>
  <c r="E118" i="3"/>
  <c r="G118" i="3"/>
  <c r="B119" i="3"/>
  <c r="C119" i="3"/>
  <c r="E119" i="3"/>
  <c r="G119" i="3"/>
  <c r="B120" i="3"/>
  <c r="C120" i="3"/>
  <c r="E120" i="3"/>
  <c r="G120" i="3"/>
  <c r="B121" i="3"/>
  <c r="C121" i="3"/>
  <c r="E121" i="3"/>
  <c r="G121" i="3"/>
  <c r="B122" i="3"/>
  <c r="C122" i="3"/>
  <c r="E122" i="3"/>
  <c r="G122" i="3"/>
  <c r="B123" i="3"/>
  <c r="C123" i="3"/>
  <c r="E123" i="3"/>
  <c r="G123" i="3"/>
  <c r="B124" i="3"/>
  <c r="C124" i="3"/>
  <c r="E124" i="3"/>
  <c r="G124" i="3"/>
  <c r="B125" i="3"/>
  <c r="C125" i="3"/>
  <c r="E125" i="3"/>
  <c r="G125" i="3"/>
  <c r="B126" i="3"/>
  <c r="C126" i="3"/>
  <c r="E126" i="3"/>
  <c r="G126" i="3"/>
  <c r="B127" i="3"/>
  <c r="C127" i="3"/>
  <c r="E127" i="3"/>
  <c r="G127" i="3"/>
  <c r="B128" i="3"/>
  <c r="C128" i="3"/>
  <c r="E128" i="3"/>
  <c r="G128" i="3"/>
  <c r="B129" i="3"/>
  <c r="C129" i="3"/>
  <c r="E129" i="3"/>
  <c r="G129" i="3"/>
  <c r="B130" i="3"/>
  <c r="C130" i="3"/>
  <c r="E130" i="3"/>
  <c r="G130" i="3"/>
  <c r="B131" i="3"/>
  <c r="C131" i="3"/>
  <c r="E131" i="3"/>
  <c r="G131" i="3"/>
  <c r="B132" i="3"/>
  <c r="C132" i="3"/>
  <c r="E132" i="3"/>
  <c r="G132" i="3"/>
  <c r="B133" i="3"/>
  <c r="C133" i="3"/>
  <c r="E133" i="3"/>
  <c r="G133" i="3"/>
  <c r="B134" i="3"/>
  <c r="C134" i="3"/>
  <c r="E134" i="3"/>
  <c r="G134" i="3"/>
  <c r="B135" i="3"/>
  <c r="C135" i="3"/>
  <c r="E135" i="3"/>
  <c r="G135" i="3"/>
  <c r="B136" i="3"/>
  <c r="C136" i="3"/>
  <c r="E136" i="3"/>
  <c r="G136" i="3"/>
  <c r="B137" i="3"/>
  <c r="C137" i="3"/>
  <c r="E137" i="3"/>
  <c r="G137" i="3"/>
  <c r="B138" i="3"/>
  <c r="C138" i="3"/>
  <c r="E138" i="3"/>
  <c r="G138" i="3"/>
  <c r="B139" i="3"/>
  <c r="C139" i="3"/>
  <c r="E139" i="3"/>
  <c r="G139" i="3"/>
  <c r="B140" i="3"/>
  <c r="C140" i="3"/>
  <c r="E140" i="3"/>
  <c r="G140" i="3"/>
  <c r="B141" i="3"/>
  <c r="C141" i="3"/>
  <c r="E141" i="3"/>
  <c r="G141" i="3"/>
  <c r="B142" i="3"/>
  <c r="C142" i="3"/>
  <c r="E142" i="3"/>
  <c r="G142" i="3"/>
  <c r="B143" i="3"/>
  <c r="C143" i="3"/>
  <c r="E143" i="3"/>
  <c r="G143" i="3"/>
  <c r="B144" i="3"/>
  <c r="C144" i="3"/>
  <c r="E144" i="3"/>
  <c r="G144" i="3"/>
  <c r="B145" i="3"/>
  <c r="C145" i="3"/>
  <c r="E145" i="3"/>
  <c r="G145" i="3"/>
  <c r="B146" i="3"/>
  <c r="C146" i="3"/>
  <c r="E146" i="3"/>
  <c r="G146" i="3"/>
  <c r="B147" i="3"/>
  <c r="C147" i="3"/>
  <c r="E147" i="3"/>
  <c r="G147" i="3"/>
  <c r="B148" i="3"/>
  <c r="C148" i="3"/>
  <c r="E148" i="3"/>
  <c r="G148" i="3"/>
  <c r="B149" i="3"/>
  <c r="C149" i="3"/>
  <c r="E149" i="3"/>
  <c r="G149" i="3"/>
  <c r="B150" i="3"/>
  <c r="C150" i="3"/>
  <c r="E150" i="3"/>
  <c r="G150" i="3"/>
  <c r="B151" i="3"/>
  <c r="C151" i="3"/>
  <c r="E151" i="3"/>
  <c r="G151" i="3"/>
  <c r="B152" i="3"/>
  <c r="C152" i="3"/>
  <c r="E152" i="3"/>
  <c r="G152" i="3"/>
  <c r="B153" i="3"/>
  <c r="C153" i="3"/>
  <c r="E153" i="3"/>
  <c r="G153" i="3"/>
  <c r="B154" i="3"/>
  <c r="C154" i="3"/>
  <c r="E154" i="3"/>
  <c r="G154" i="3"/>
  <c r="B155" i="3"/>
  <c r="C155" i="3"/>
  <c r="E155" i="3"/>
  <c r="G155" i="3"/>
  <c r="B156" i="3"/>
  <c r="C156" i="3"/>
  <c r="E156" i="3"/>
  <c r="G156" i="3"/>
  <c r="B157" i="3"/>
  <c r="C157" i="3"/>
  <c r="E157" i="3"/>
  <c r="G157" i="3"/>
  <c r="B158" i="3"/>
  <c r="C158" i="3"/>
  <c r="E158" i="3"/>
  <c r="G158" i="3"/>
  <c r="B159" i="3"/>
  <c r="C159" i="3"/>
  <c r="E159" i="3"/>
  <c r="G159" i="3"/>
  <c r="B160" i="3"/>
  <c r="C160" i="3"/>
  <c r="E160" i="3"/>
  <c r="G160" i="3"/>
  <c r="B161" i="3"/>
  <c r="C161" i="3"/>
  <c r="E161" i="3"/>
  <c r="G161" i="3"/>
  <c r="B162" i="3"/>
  <c r="C162" i="3"/>
  <c r="E162" i="3"/>
  <c r="G162" i="3"/>
  <c r="B163" i="3"/>
  <c r="C163" i="3"/>
  <c r="E163" i="3"/>
  <c r="G163" i="3"/>
  <c r="B164" i="3"/>
  <c r="C164" i="3"/>
  <c r="E164" i="3"/>
  <c r="G164" i="3"/>
  <c r="B165" i="3"/>
  <c r="C165" i="3"/>
  <c r="E165" i="3"/>
  <c r="G165" i="3"/>
  <c r="B166" i="3"/>
  <c r="C166" i="3"/>
  <c r="E166" i="3"/>
  <c r="G166" i="3"/>
  <c r="B167" i="3"/>
  <c r="C167" i="3"/>
  <c r="E167" i="3"/>
  <c r="G167" i="3"/>
  <c r="B168" i="3"/>
  <c r="C168" i="3"/>
  <c r="E168" i="3"/>
  <c r="G168" i="3"/>
  <c r="B169" i="3"/>
  <c r="C169" i="3"/>
  <c r="E169" i="3"/>
  <c r="G169" i="3"/>
  <c r="B170" i="3"/>
  <c r="C170" i="3"/>
  <c r="E170" i="3"/>
  <c r="G170" i="3"/>
  <c r="B171" i="3"/>
  <c r="C171" i="3"/>
  <c r="E171" i="3"/>
  <c r="G171" i="3"/>
  <c r="B172" i="3"/>
  <c r="C172" i="3"/>
  <c r="E172" i="3"/>
  <c r="G172" i="3"/>
  <c r="B173" i="3"/>
  <c r="C173" i="3"/>
  <c r="E173" i="3"/>
  <c r="G173" i="3"/>
  <c r="B174" i="3"/>
  <c r="C174" i="3"/>
  <c r="E174" i="3"/>
  <c r="G174" i="3"/>
  <c r="B175" i="3"/>
  <c r="C175" i="3"/>
  <c r="E175" i="3"/>
  <c r="G175" i="3"/>
  <c r="B176" i="3"/>
  <c r="C176" i="3"/>
  <c r="E176" i="3"/>
  <c r="G176" i="3"/>
  <c r="B177" i="3"/>
  <c r="C177" i="3"/>
  <c r="E177" i="3"/>
  <c r="G177" i="3"/>
  <c r="B178" i="3"/>
  <c r="C178" i="3"/>
  <c r="E178" i="3"/>
  <c r="G178" i="3"/>
  <c r="B179" i="3"/>
  <c r="C179" i="3"/>
  <c r="E179" i="3"/>
  <c r="G179" i="3"/>
  <c r="B180" i="3"/>
  <c r="C180" i="3"/>
  <c r="E180" i="3"/>
  <c r="G180" i="3"/>
  <c r="B181" i="3"/>
  <c r="C181" i="3"/>
  <c r="E181" i="3"/>
  <c r="G181" i="3"/>
  <c r="B182" i="3"/>
  <c r="C182" i="3"/>
  <c r="E182" i="3"/>
  <c r="G182" i="3"/>
  <c r="B183" i="3"/>
  <c r="C183" i="3"/>
  <c r="E183" i="3"/>
  <c r="G183" i="3"/>
  <c r="B184" i="3"/>
  <c r="C184" i="3"/>
  <c r="E184" i="3"/>
  <c r="G184" i="3"/>
  <c r="B185" i="3"/>
  <c r="C185" i="3"/>
  <c r="E185" i="3"/>
  <c r="G185" i="3"/>
  <c r="B186" i="3"/>
  <c r="C186" i="3"/>
  <c r="E186" i="3"/>
  <c r="G186" i="3"/>
  <c r="B187" i="3"/>
  <c r="C187" i="3"/>
  <c r="E187" i="3"/>
  <c r="G187" i="3"/>
  <c r="B188" i="3"/>
  <c r="C188" i="3"/>
  <c r="E188" i="3"/>
  <c r="G188" i="3"/>
  <c r="B189" i="3"/>
  <c r="C189" i="3"/>
  <c r="E189" i="3"/>
  <c r="G189" i="3"/>
  <c r="B190" i="3"/>
  <c r="C190" i="3"/>
  <c r="E190" i="3"/>
  <c r="G190" i="3"/>
  <c r="B191" i="3"/>
  <c r="C191" i="3"/>
  <c r="E191" i="3"/>
  <c r="G191" i="3"/>
  <c r="B192" i="3"/>
  <c r="C192" i="3"/>
  <c r="E192" i="3"/>
  <c r="G192" i="3"/>
  <c r="B193" i="3"/>
  <c r="C193" i="3"/>
  <c r="E193" i="3"/>
  <c r="G193" i="3"/>
  <c r="B194" i="3"/>
  <c r="C194" i="3"/>
  <c r="E194" i="3"/>
  <c r="G194" i="3"/>
  <c r="B195" i="3"/>
  <c r="C195" i="3"/>
  <c r="E195" i="3"/>
  <c r="G195" i="3"/>
  <c r="B196" i="3"/>
  <c r="C196" i="3"/>
  <c r="E196" i="3"/>
  <c r="G196" i="3"/>
  <c r="B197" i="3"/>
  <c r="C197" i="3"/>
  <c r="E197" i="3"/>
  <c r="G197" i="3"/>
  <c r="B198" i="3"/>
  <c r="C198" i="3"/>
  <c r="E198" i="3"/>
  <c r="G198" i="3"/>
  <c r="B199" i="3"/>
  <c r="C199" i="3"/>
  <c r="E199" i="3"/>
  <c r="G199" i="3"/>
  <c r="B200" i="3"/>
  <c r="C200" i="3"/>
  <c r="E200" i="3"/>
  <c r="G200" i="3"/>
  <c r="B201" i="3"/>
  <c r="C201" i="3"/>
  <c r="E201" i="3"/>
  <c r="G201" i="3"/>
  <c r="B202" i="3"/>
  <c r="C202" i="3"/>
  <c r="E202" i="3"/>
  <c r="G202" i="3"/>
  <c r="G201" i="2"/>
  <c r="E201" i="2"/>
  <c r="G200" i="2"/>
  <c r="E200" i="2"/>
  <c r="G199" i="2"/>
  <c r="E199" i="2"/>
  <c r="G198" i="2"/>
  <c r="E198" i="2"/>
  <c r="G197" i="2"/>
  <c r="E197" i="2"/>
  <c r="G196" i="2"/>
  <c r="E196" i="2"/>
  <c r="G195" i="2"/>
  <c r="E195" i="2"/>
  <c r="G194" i="2"/>
  <c r="E194" i="2"/>
  <c r="G193" i="2"/>
  <c r="E193" i="2"/>
  <c r="G192" i="2"/>
  <c r="E192" i="2"/>
  <c r="G191" i="2"/>
  <c r="E191" i="2"/>
  <c r="G190" i="2"/>
  <c r="E190" i="2"/>
  <c r="G189" i="2"/>
  <c r="E189" i="2"/>
  <c r="G188" i="2"/>
  <c r="E188" i="2"/>
  <c r="G187" i="2"/>
  <c r="E187" i="2"/>
  <c r="G186" i="2"/>
  <c r="E186" i="2"/>
  <c r="G185" i="2"/>
  <c r="E185" i="2"/>
  <c r="G184" i="2"/>
  <c r="E184" i="2"/>
  <c r="G183" i="2"/>
  <c r="E183" i="2"/>
  <c r="G182" i="2"/>
  <c r="E182" i="2"/>
  <c r="G181" i="2"/>
  <c r="E181" i="2"/>
  <c r="G180" i="2"/>
  <c r="E180" i="2"/>
  <c r="G179" i="2"/>
  <c r="E179" i="2"/>
  <c r="G178" i="2"/>
  <c r="E178" i="2"/>
  <c r="G177" i="2"/>
  <c r="E177" i="2"/>
  <c r="G176" i="2"/>
  <c r="E176" i="2"/>
  <c r="G175" i="2"/>
  <c r="E175" i="2"/>
  <c r="G174" i="2"/>
  <c r="E174" i="2"/>
  <c r="G173" i="2"/>
  <c r="E173" i="2"/>
  <c r="G172" i="2"/>
  <c r="E172" i="2"/>
  <c r="G171" i="2"/>
  <c r="E171" i="2"/>
  <c r="G170" i="2"/>
  <c r="E170" i="2"/>
  <c r="G169" i="2"/>
  <c r="E169" i="2"/>
  <c r="G168" i="2"/>
  <c r="E168" i="2"/>
  <c r="G167" i="2"/>
  <c r="E167" i="2"/>
  <c r="G166" i="2"/>
  <c r="E166" i="2"/>
  <c r="G165" i="2"/>
  <c r="E165" i="2"/>
  <c r="G164" i="2"/>
  <c r="E164" i="2"/>
  <c r="G163" i="2"/>
  <c r="E163" i="2"/>
  <c r="G162" i="2"/>
  <c r="E162" i="2"/>
  <c r="G161" i="2"/>
  <c r="E161" i="2"/>
  <c r="G160" i="2"/>
  <c r="E160" i="2"/>
  <c r="G159" i="2"/>
  <c r="E159" i="2"/>
  <c r="G158" i="2"/>
  <c r="E158" i="2"/>
  <c r="G157" i="2"/>
  <c r="E157" i="2"/>
  <c r="G156" i="2"/>
  <c r="E156" i="2"/>
  <c r="G155" i="2"/>
  <c r="E155" i="2"/>
  <c r="G154" i="2"/>
  <c r="E154" i="2"/>
  <c r="G153" i="2"/>
  <c r="E153" i="2"/>
  <c r="G152" i="2"/>
  <c r="E152" i="2"/>
  <c r="G151" i="2"/>
  <c r="E151" i="2"/>
  <c r="G150" i="2"/>
  <c r="E150" i="2"/>
  <c r="G149" i="2"/>
  <c r="E149" i="2"/>
  <c r="G148" i="2"/>
  <c r="E148" i="2"/>
  <c r="G147" i="2"/>
  <c r="E147" i="2"/>
  <c r="G146" i="2"/>
  <c r="E146" i="2"/>
  <c r="G145" i="2"/>
  <c r="E145" i="2"/>
  <c r="G144" i="2"/>
  <c r="E144" i="2"/>
  <c r="G143" i="2"/>
  <c r="E143" i="2"/>
  <c r="G142" i="2"/>
  <c r="E142" i="2"/>
  <c r="G141" i="2"/>
  <c r="E141" i="2"/>
  <c r="G140" i="2"/>
  <c r="E140" i="2"/>
  <c r="G139" i="2"/>
  <c r="E139" i="2"/>
  <c r="G138" i="2"/>
  <c r="E138" i="2"/>
  <c r="G137" i="2"/>
  <c r="E137" i="2"/>
  <c r="G136" i="2"/>
  <c r="E136" i="2"/>
  <c r="G135" i="2"/>
  <c r="E135" i="2"/>
  <c r="G134" i="2"/>
  <c r="E134" i="2"/>
  <c r="G133" i="2"/>
  <c r="E133" i="2"/>
  <c r="G132" i="2"/>
  <c r="E132" i="2"/>
  <c r="G131" i="2"/>
  <c r="E131" i="2"/>
  <c r="G130" i="2"/>
  <c r="E130" i="2"/>
  <c r="G129" i="2"/>
  <c r="E129" i="2"/>
  <c r="G128" i="2"/>
  <c r="E128" i="2"/>
  <c r="G127" i="2"/>
  <c r="E127" i="2"/>
  <c r="G126" i="2"/>
  <c r="E126" i="2"/>
  <c r="G125" i="2"/>
  <c r="E125" i="2"/>
  <c r="G124" i="2"/>
  <c r="E124" i="2"/>
  <c r="G123" i="2"/>
  <c r="E123" i="2"/>
  <c r="G122" i="2"/>
  <c r="E122" i="2"/>
  <c r="G121" i="2"/>
  <c r="E121" i="2"/>
  <c r="G120" i="2"/>
  <c r="E120" i="2"/>
  <c r="G119" i="2"/>
  <c r="E119" i="2"/>
  <c r="G118" i="2"/>
  <c r="E118" i="2"/>
  <c r="G117" i="2"/>
  <c r="E117" i="2"/>
  <c r="G116" i="2"/>
  <c r="E116" i="2"/>
  <c r="G115" i="2"/>
  <c r="E115" i="2"/>
  <c r="G114" i="2"/>
  <c r="E114" i="2"/>
  <c r="G113" i="2"/>
  <c r="E113" i="2"/>
  <c r="G112" i="2"/>
  <c r="E112" i="2"/>
  <c r="G111" i="2"/>
  <c r="E111" i="2"/>
  <c r="G110" i="2"/>
  <c r="E110" i="2"/>
  <c r="G109" i="2"/>
  <c r="E109" i="2"/>
  <c r="G108" i="2"/>
  <c r="E108" i="2"/>
  <c r="G107" i="2"/>
  <c r="E107" i="2"/>
  <c r="G106" i="2"/>
  <c r="E106" i="2"/>
  <c r="G105" i="2"/>
  <c r="E105" i="2"/>
  <c r="G104" i="2"/>
  <c r="E104" i="2"/>
  <c r="G103" i="2"/>
  <c r="E103" i="2"/>
  <c r="G102" i="2"/>
  <c r="E102" i="2"/>
  <c r="G101" i="2"/>
  <c r="E101" i="2"/>
  <c r="G100" i="2"/>
  <c r="E100" i="2"/>
  <c r="G99" i="2"/>
  <c r="E99" i="2"/>
  <c r="G98" i="2"/>
  <c r="E98" i="2"/>
  <c r="G97" i="2"/>
  <c r="E97" i="2"/>
  <c r="G96" i="2"/>
  <c r="E96" i="2"/>
  <c r="G95" i="2"/>
  <c r="E95" i="2"/>
  <c r="G94" i="2"/>
  <c r="E94" i="2"/>
  <c r="G93" i="2"/>
  <c r="E93" i="2"/>
  <c r="G92" i="2"/>
  <c r="E92" i="2"/>
  <c r="G91" i="2"/>
  <c r="E91" i="2"/>
  <c r="G90" i="2"/>
  <c r="E90" i="2"/>
  <c r="G89" i="2"/>
  <c r="E89" i="2"/>
  <c r="G88" i="2"/>
  <c r="E88" i="2"/>
  <c r="G87" i="2"/>
  <c r="E87" i="2"/>
  <c r="G86" i="2"/>
  <c r="E86" i="2"/>
  <c r="G85" i="2"/>
  <c r="E85" i="2"/>
  <c r="G84" i="2"/>
  <c r="E84" i="2"/>
  <c r="G83" i="2"/>
  <c r="E83" i="2"/>
  <c r="G82" i="2"/>
  <c r="E82" i="2"/>
  <c r="G81" i="2"/>
  <c r="E81" i="2"/>
  <c r="G80" i="2"/>
  <c r="E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D202" i="3" l="1"/>
  <c r="F202" i="3" s="1"/>
  <c r="D201" i="3"/>
  <c r="F201" i="3" s="1"/>
  <c r="D200" i="3"/>
  <c r="F200" i="3" s="1"/>
  <c r="D199" i="3"/>
  <c r="F199" i="3" s="1"/>
  <c r="D198" i="3"/>
  <c r="F198" i="3" s="1"/>
  <c r="D197" i="3"/>
  <c r="F197" i="3" s="1"/>
  <c r="D196" i="3"/>
  <c r="F196" i="3" s="1"/>
  <c r="D195" i="3"/>
  <c r="F195" i="3" s="1"/>
  <c r="D194" i="3"/>
  <c r="F194" i="3" s="1"/>
  <c r="D193" i="3"/>
  <c r="F193" i="3" s="1"/>
  <c r="D192" i="3"/>
  <c r="F192" i="3" s="1"/>
  <c r="D191" i="3"/>
  <c r="F191" i="3" s="1"/>
  <c r="D190" i="3"/>
  <c r="F190" i="3" s="1"/>
  <c r="D189" i="3"/>
  <c r="F189" i="3" s="1"/>
  <c r="D188" i="3"/>
  <c r="F188" i="3" s="1"/>
  <c r="D187" i="3"/>
  <c r="F187" i="3" s="1"/>
  <c r="D186" i="3"/>
  <c r="F186" i="3" s="1"/>
  <c r="D185" i="3"/>
  <c r="F185" i="3" s="1"/>
  <c r="D184" i="3"/>
  <c r="F184" i="3" s="1"/>
  <c r="D183" i="3"/>
  <c r="F183" i="3" s="1"/>
  <c r="D182" i="3"/>
  <c r="F182" i="3" s="1"/>
  <c r="D181" i="3"/>
  <c r="F181" i="3" s="1"/>
  <c r="D180" i="3"/>
  <c r="F180" i="3" s="1"/>
  <c r="D179" i="3"/>
  <c r="F179" i="3" s="1"/>
  <c r="D178" i="3"/>
  <c r="F178" i="3" s="1"/>
  <c r="D177" i="3"/>
  <c r="F177" i="3" s="1"/>
  <c r="D176" i="3"/>
  <c r="F176" i="3" s="1"/>
  <c r="D175" i="3"/>
  <c r="F175" i="3" s="1"/>
  <c r="D174" i="3"/>
  <c r="F174" i="3" s="1"/>
  <c r="D173" i="3"/>
  <c r="F173" i="3" s="1"/>
  <c r="D172" i="3"/>
  <c r="F172" i="3" s="1"/>
  <c r="D171" i="3"/>
  <c r="F171" i="3" s="1"/>
  <c r="D170" i="3"/>
  <c r="F170" i="3" s="1"/>
  <c r="D169" i="3"/>
  <c r="F169" i="3" s="1"/>
  <c r="D168" i="3"/>
  <c r="F168" i="3" s="1"/>
  <c r="D167" i="3"/>
  <c r="F167" i="3" s="1"/>
  <c r="D166" i="3"/>
  <c r="F166" i="3" s="1"/>
  <c r="D165" i="3"/>
  <c r="F165" i="3" s="1"/>
  <c r="D164" i="3"/>
  <c r="F164" i="3" s="1"/>
  <c r="D163" i="3"/>
  <c r="F163" i="3" s="1"/>
  <c r="D162" i="3"/>
  <c r="F162" i="3" s="1"/>
  <c r="D161" i="3"/>
  <c r="F161" i="3" s="1"/>
  <c r="D160" i="3"/>
  <c r="F160" i="3" s="1"/>
  <c r="D159" i="3"/>
  <c r="F159" i="3" s="1"/>
  <c r="D158" i="3"/>
  <c r="F158" i="3" s="1"/>
  <c r="D157" i="3"/>
  <c r="F157" i="3" s="1"/>
  <c r="D156" i="3"/>
  <c r="F156" i="3" s="1"/>
  <c r="D155" i="3"/>
  <c r="F155" i="3" s="1"/>
  <c r="D154" i="3"/>
  <c r="F154" i="3" s="1"/>
  <c r="D153" i="3"/>
  <c r="F153" i="3" s="1"/>
  <c r="D152" i="3"/>
  <c r="F152" i="3" s="1"/>
  <c r="D151" i="3"/>
  <c r="F151" i="3" s="1"/>
  <c r="D150" i="3"/>
  <c r="F150" i="3" s="1"/>
  <c r="D149" i="3"/>
  <c r="F149" i="3" s="1"/>
  <c r="D148" i="3"/>
  <c r="F148" i="3" s="1"/>
  <c r="D147" i="3"/>
  <c r="F147" i="3" s="1"/>
  <c r="D146" i="3"/>
  <c r="F146" i="3" s="1"/>
  <c r="D145" i="3"/>
  <c r="F145" i="3" s="1"/>
  <c r="D144" i="3"/>
  <c r="F144" i="3" s="1"/>
  <c r="D143" i="3"/>
  <c r="F143" i="3" s="1"/>
  <c r="D142" i="3"/>
  <c r="F142" i="3" s="1"/>
  <c r="D141" i="3"/>
  <c r="F141" i="3" s="1"/>
  <c r="D140" i="3"/>
  <c r="F140" i="3" s="1"/>
  <c r="D139" i="3"/>
  <c r="F139" i="3" s="1"/>
  <c r="D138" i="3"/>
  <c r="F138" i="3" s="1"/>
  <c r="D137" i="3"/>
  <c r="F137" i="3" s="1"/>
  <c r="D136" i="3"/>
  <c r="F136" i="3" s="1"/>
  <c r="D135" i="3"/>
  <c r="F135" i="3" s="1"/>
  <c r="D134" i="3"/>
  <c r="F134" i="3" s="1"/>
  <c r="D133" i="3"/>
  <c r="F133" i="3" s="1"/>
  <c r="D132" i="3"/>
  <c r="F132" i="3" s="1"/>
  <c r="D131" i="3"/>
  <c r="F131" i="3" s="1"/>
  <c r="D130" i="3"/>
  <c r="F130" i="3" s="1"/>
  <c r="D129" i="3"/>
  <c r="F129" i="3" s="1"/>
  <c r="D128" i="3"/>
  <c r="F128" i="3" s="1"/>
  <c r="D127" i="3"/>
  <c r="F127" i="3" s="1"/>
  <c r="D126" i="3"/>
  <c r="F126" i="3" s="1"/>
  <c r="D125" i="3"/>
  <c r="F125" i="3" s="1"/>
  <c r="D124" i="3"/>
  <c r="F124" i="3" s="1"/>
  <c r="D123" i="3"/>
  <c r="F123" i="3" s="1"/>
  <c r="D122" i="3"/>
  <c r="F122" i="3" s="1"/>
  <c r="D121" i="3"/>
  <c r="F121" i="3" s="1"/>
  <c r="D120" i="3"/>
  <c r="F120" i="3" s="1"/>
  <c r="D119" i="3"/>
  <c r="F119" i="3" s="1"/>
  <c r="D118" i="3"/>
  <c r="F118" i="3" s="1"/>
  <c r="D117" i="3"/>
  <c r="F117" i="3" s="1"/>
  <c r="D116" i="3"/>
  <c r="F116" i="3" s="1"/>
  <c r="D115" i="3"/>
  <c r="F115" i="3" s="1"/>
  <c r="D114" i="3"/>
  <c r="F114" i="3" s="1"/>
  <c r="D113" i="3"/>
  <c r="F113" i="3" s="1"/>
  <c r="D112" i="3"/>
  <c r="F112" i="3" s="1"/>
  <c r="D111" i="3"/>
  <c r="F111" i="3" s="1"/>
  <c r="D110" i="3"/>
  <c r="F110" i="3" s="1"/>
  <c r="D109" i="3"/>
  <c r="F109" i="3" s="1"/>
  <c r="D108" i="3"/>
  <c r="F108" i="3" s="1"/>
  <c r="D107" i="3"/>
  <c r="F107" i="3" s="1"/>
  <c r="D106" i="3"/>
  <c r="F106" i="3" s="1"/>
  <c r="D105" i="3"/>
  <c r="F105" i="3" s="1"/>
  <c r="D104" i="3"/>
  <c r="F104" i="3" s="1"/>
  <c r="D103" i="3"/>
  <c r="F103" i="3" s="1"/>
  <c r="D102" i="3"/>
  <c r="F102" i="3" s="1"/>
  <c r="D101" i="3"/>
  <c r="F101" i="3" s="1"/>
  <c r="D100" i="3"/>
  <c r="F100" i="3" s="1"/>
  <c r="D99" i="3"/>
  <c r="F99" i="3" s="1"/>
  <c r="D98" i="3"/>
  <c r="F98" i="3" s="1"/>
  <c r="D97" i="3"/>
  <c r="F97" i="3" s="1"/>
  <c r="D96" i="3"/>
  <c r="F96" i="3" s="1"/>
  <c r="D95" i="3"/>
  <c r="F95" i="3" s="1"/>
  <c r="D94" i="3"/>
  <c r="F94" i="3" s="1"/>
  <c r="D93" i="3"/>
  <c r="F93" i="3" s="1"/>
  <c r="D92" i="3"/>
  <c r="F92" i="3" s="1"/>
  <c r="D91" i="3"/>
  <c r="F91" i="3" s="1"/>
  <c r="D90" i="3"/>
  <c r="F90" i="3" s="1"/>
  <c r="D89" i="3"/>
  <c r="F89" i="3" s="1"/>
  <c r="D88" i="3"/>
  <c r="F88" i="3" s="1"/>
  <c r="D87" i="3"/>
  <c r="F87" i="3" s="1"/>
  <c r="D86" i="3"/>
  <c r="F86" i="3" s="1"/>
  <c r="D85" i="3"/>
  <c r="F85" i="3" s="1"/>
  <c r="D84" i="3"/>
  <c r="F84" i="3" s="1"/>
  <c r="D83" i="3"/>
  <c r="F83" i="3" s="1"/>
  <c r="D82" i="3"/>
  <c r="F82" i="3" s="1"/>
  <c r="D81" i="3"/>
  <c r="F81" i="3" s="1"/>
  <c r="D80" i="3"/>
  <c r="F80" i="3" s="1"/>
  <c r="D79" i="3"/>
  <c r="F79" i="3" s="1"/>
  <c r="D78" i="3"/>
  <c r="F78" i="3" s="1"/>
  <c r="D77" i="3"/>
  <c r="F77" i="3" s="1"/>
  <c r="D76" i="3"/>
  <c r="F76" i="3" s="1"/>
  <c r="D75" i="3"/>
  <c r="F75" i="3" s="1"/>
  <c r="D74" i="3"/>
  <c r="F74" i="3" s="1"/>
  <c r="D73" i="3"/>
  <c r="F73" i="3" s="1"/>
  <c r="D72" i="3"/>
  <c r="F72" i="3" s="1"/>
  <c r="D71" i="3"/>
  <c r="F71" i="3" s="1"/>
  <c r="D70" i="3"/>
  <c r="F70" i="3" s="1"/>
  <c r="D69" i="3"/>
  <c r="F69" i="3" s="1"/>
  <c r="D68" i="3"/>
  <c r="F68" i="3" s="1"/>
  <c r="D67" i="3"/>
  <c r="F67" i="3" s="1"/>
  <c r="D66" i="3"/>
  <c r="F66" i="3" s="1"/>
  <c r="D65" i="3"/>
  <c r="F65" i="3" s="1"/>
  <c r="D64" i="3"/>
  <c r="F64" i="3" s="1"/>
  <c r="D63" i="3"/>
  <c r="F63" i="3" s="1"/>
  <c r="D62" i="3"/>
  <c r="F62" i="3" s="1"/>
  <c r="D61" i="3"/>
  <c r="F61" i="3" s="1"/>
  <c r="D60" i="3"/>
  <c r="F60" i="3" s="1"/>
  <c r="D59" i="3"/>
  <c r="F59" i="3" s="1"/>
  <c r="D58" i="3"/>
  <c r="F58" i="3" s="1"/>
  <c r="D57" i="3"/>
  <c r="F57" i="3" s="1"/>
  <c r="D56" i="3"/>
  <c r="F56" i="3" s="1"/>
  <c r="D55" i="3"/>
  <c r="F55" i="3" s="1"/>
  <c r="D54" i="3"/>
  <c r="F54" i="3" s="1"/>
  <c r="D53" i="3"/>
  <c r="F53" i="3" s="1"/>
  <c r="D52" i="3"/>
  <c r="F52" i="3" s="1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<sst xmlns="http://schemas.openxmlformats.org/spreadsheetml/2006/main" count="815" uniqueCount="416">
  <si>
    <t>repayment_id</t>
  </si>
  <si>
    <t>loan_id</t>
  </si>
  <si>
    <t>month</t>
  </si>
  <si>
    <t>amount_due</t>
  </si>
  <si>
    <t>amount_paid</t>
  </si>
  <si>
    <t>payment_status</t>
  </si>
  <si>
    <t>risk_weight</t>
  </si>
  <si>
    <t>Column3</t>
  </si>
  <si>
    <t>R001</t>
  </si>
  <si>
    <t>L001</t>
  </si>
  <si>
    <t>Full</t>
  </si>
  <si>
    <t>R002</t>
  </si>
  <si>
    <t>L002</t>
  </si>
  <si>
    <t>R003</t>
  </si>
  <si>
    <t>L003</t>
  </si>
  <si>
    <t>R004</t>
  </si>
  <si>
    <t>L004</t>
  </si>
  <si>
    <t>R005</t>
  </si>
  <si>
    <t>L005</t>
  </si>
  <si>
    <t>R006</t>
  </si>
  <si>
    <t>L006</t>
  </si>
  <si>
    <t>R007</t>
  </si>
  <si>
    <t>L007</t>
  </si>
  <si>
    <t>R008</t>
  </si>
  <si>
    <t>L008</t>
  </si>
  <si>
    <t>R009</t>
  </si>
  <si>
    <t>L009</t>
  </si>
  <si>
    <t>R010</t>
  </si>
  <si>
    <t>L010</t>
  </si>
  <si>
    <t>R011</t>
  </si>
  <si>
    <t>L011</t>
  </si>
  <si>
    <t>R012</t>
  </si>
  <si>
    <t>L012</t>
  </si>
  <si>
    <t>R013</t>
  </si>
  <si>
    <t>L013</t>
  </si>
  <si>
    <t>R014</t>
  </si>
  <si>
    <t>L014</t>
  </si>
  <si>
    <t>R015</t>
  </si>
  <si>
    <t>L015</t>
  </si>
  <si>
    <t>R016</t>
  </si>
  <si>
    <t>L016</t>
  </si>
  <si>
    <t>R017</t>
  </si>
  <si>
    <t>L017</t>
  </si>
  <si>
    <t>R018</t>
  </si>
  <si>
    <t>L018</t>
  </si>
  <si>
    <t>R019</t>
  </si>
  <si>
    <t>L019</t>
  </si>
  <si>
    <t>R020</t>
  </si>
  <si>
    <t>L020</t>
  </si>
  <si>
    <t>R021</t>
  </si>
  <si>
    <t>L021</t>
  </si>
  <si>
    <t>R022</t>
  </si>
  <si>
    <t>L022</t>
  </si>
  <si>
    <t>R023</t>
  </si>
  <si>
    <t>L023</t>
  </si>
  <si>
    <t>R024</t>
  </si>
  <si>
    <t>L024</t>
  </si>
  <si>
    <t>R025</t>
  </si>
  <si>
    <t>L025</t>
  </si>
  <si>
    <t>R026</t>
  </si>
  <si>
    <t>L026</t>
  </si>
  <si>
    <t>R027</t>
  </si>
  <si>
    <t>L027</t>
  </si>
  <si>
    <t>R028</t>
  </si>
  <si>
    <t>L028</t>
  </si>
  <si>
    <t>R029</t>
  </si>
  <si>
    <t>L029</t>
  </si>
  <si>
    <t>R030</t>
  </si>
  <si>
    <t>L030</t>
  </si>
  <si>
    <t>R031</t>
  </si>
  <si>
    <t>L031</t>
  </si>
  <si>
    <t>R032</t>
  </si>
  <si>
    <t>L032</t>
  </si>
  <si>
    <t>R033</t>
  </si>
  <si>
    <t>L033</t>
  </si>
  <si>
    <t>R034</t>
  </si>
  <si>
    <t>L034</t>
  </si>
  <si>
    <t>R035</t>
  </si>
  <si>
    <t>L035</t>
  </si>
  <si>
    <t>R036</t>
  </si>
  <si>
    <t>L036</t>
  </si>
  <si>
    <t>R037</t>
  </si>
  <si>
    <t>L037</t>
  </si>
  <si>
    <t>R038</t>
  </si>
  <si>
    <t>L038</t>
  </si>
  <si>
    <t>R039</t>
  </si>
  <si>
    <t>L039</t>
  </si>
  <si>
    <t>R040</t>
  </si>
  <si>
    <t>L040</t>
  </si>
  <si>
    <t>R041</t>
  </si>
  <si>
    <t>L041</t>
  </si>
  <si>
    <t>R042</t>
  </si>
  <si>
    <t>L042</t>
  </si>
  <si>
    <t>R043</t>
  </si>
  <si>
    <t>L043</t>
  </si>
  <si>
    <t>R044</t>
  </si>
  <si>
    <t>L044</t>
  </si>
  <si>
    <t>R045</t>
  </si>
  <si>
    <t>L045</t>
  </si>
  <si>
    <t>R046</t>
  </si>
  <si>
    <t>L046</t>
  </si>
  <si>
    <t>R047</t>
  </si>
  <si>
    <t>L047</t>
  </si>
  <si>
    <t>R048</t>
  </si>
  <si>
    <t>L048</t>
  </si>
  <si>
    <t>R049</t>
  </si>
  <si>
    <t>L049</t>
  </si>
  <si>
    <t>R050</t>
  </si>
  <si>
    <t>L050</t>
  </si>
  <si>
    <t>R051</t>
  </si>
  <si>
    <t>L051</t>
  </si>
  <si>
    <t>R052</t>
  </si>
  <si>
    <t>L052</t>
  </si>
  <si>
    <t>R053</t>
  </si>
  <si>
    <t>L053</t>
  </si>
  <si>
    <t>R054</t>
  </si>
  <si>
    <t>L054</t>
  </si>
  <si>
    <t>R055</t>
  </si>
  <si>
    <t>L055</t>
  </si>
  <si>
    <t>R056</t>
  </si>
  <si>
    <t>L056</t>
  </si>
  <si>
    <t>R057</t>
  </si>
  <si>
    <t>L057</t>
  </si>
  <si>
    <t>R058</t>
  </si>
  <si>
    <t>L058</t>
  </si>
  <si>
    <t>R059</t>
  </si>
  <si>
    <t>L059</t>
  </si>
  <si>
    <t>R060</t>
  </si>
  <si>
    <t>L060</t>
  </si>
  <si>
    <t>R061</t>
  </si>
  <si>
    <t>L061</t>
  </si>
  <si>
    <t>R062</t>
  </si>
  <si>
    <t>L062</t>
  </si>
  <si>
    <t>R063</t>
  </si>
  <si>
    <t>L063</t>
  </si>
  <si>
    <t>R064</t>
  </si>
  <si>
    <t>L064</t>
  </si>
  <si>
    <t>R065</t>
  </si>
  <si>
    <t>L065</t>
  </si>
  <si>
    <t>R066</t>
  </si>
  <si>
    <t>L066</t>
  </si>
  <si>
    <t>R067</t>
  </si>
  <si>
    <t>L067</t>
  </si>
  <si>
    <t>R068</t>
  </si>
  <si>
    <t>L068</t>
  </si>
  <si>
    <t>R069</t>
  </si>
  <si>
    <t>L069</t>
  </si>
  <si>
    <t>R070</t>
  </si>
  <si>
    <t>L070</t>
  </si>
  <si>
    <t>R071</t>
  </si>
  <si>
    <t>L071</t>
  </si>
  <si>
    <t>R072</t>
  </si>
  <si>
    <t>L072</t>
  </si>
  <si>
    <t>R073</t>
  </si>
  <si>
    <t>L073</t>
  </si>
  <si>
    <t>R074</t>
  </si>
  <si>
    <t>L074</t>
  </si>
  <si>
    <t>R075</t>
  </si>
  <si>
    <t>L075</t>
  </si>
  <si>
    <t>R076</t>
  </si>
  <si>
    <t>L076</t>
  </si>
  <si>
    <t>R077</t>
  </si>
  <si>
    <t>L077</t>
  </si>
  <si>
    <t>R078</t>
  </si>
  <si>
    <t>L078</t>
  </si>
  <si>
    <t>R079</t>
  </si>
  <si>
    <t>L079</t>
  </si>
  <si>
    <t>R080</t>
  </si>
  <si>
    <t>L080</t>
  </si>
  <si>
    <t>R081</t>
  </si>
  <si>
    <t>L081</t>
  </si>
  <si>
    <t>R082</t>
  </si>
  <si>
    <t>L082</t>
  </si>
  <si>
    <t>R083</t>
  </si>
  <si>
    <t>L083</t>
  </si>
  <si>
    <t>R084</t>
  </si>
  <si>
    <t>L084</t>
  </si>
  <si>
    <t>R085</t>
  </si>
  <si>
    <t>L085</t>
  </si>
  <si>
    <t>R086</t>
  </si>
  <si>
    <t>L086</t>
  </si>
  <si>
    <t>R087</t>
  </si>
  <si>
    <t>L087</t>
  </si>
  <si>
    <t>R088</t>
  </si>
  <si>
    <t>L088</t>
  </si>
  <si>
    <t>R089</t>
  </si>
  <si>
    <t>L089</t>
  </si>
  <si>
    <t>R090</t>
  </si>
  <si>
    <t>L090</t>
  </si>
  <si>
    <t>R091</t>
  </si>
  <si>
    <t>L091</t>
  </si>
  <si>
    <t>R092</t>
  </si>
  <si>
    <t>L092</t>
  </si>
  <si>
    <t>R093</t>
  </si>
  <si>
    <t>L093</t>
  </si>
  <si>
    <t>R094</t>
  </si>
  <si>
    <t>L094</t>
  </si>
  <si>
    <t>R095</t>
  </si>
  <si>
    <t>L095</t>
  </si>
  <si>
    <t>R096</t>
  </si>
  <si>
    <t>L096</t>
  </si>
  <si>
    <t>R097</t>
  </si>
  <si>
    <t>L097</t>
  </si>
  <si>
    <t>R098</t>
  </si>
  <si>
    <t>L098</t>
  </si>
  <si>
    <t>R099</t>
  </si>
  <si>
    <t>L099</t>
  </si>
  <si>
    <t>R100</t>
  </si>
  <si>
    <t>L100</t>
  </si>
  <si>
    <t>R101</t>
  </si>
  <si>
    <t>L101</t>
  </si>
  <si>
    <t>R102</t>
  </si>
  <si>
    <t>L102</t>
  </si>
  <si>
    <t>R103</t>
  </si>
  <si>
    <t>L103</t>
  </si>
  <si>
    <t>R104</t>
  </si>
  <si>
    <t>L104</t>
  </si>
  <si>
    <t>R105</t>
  </si>
  <si>
    <t>L105</t>
  </si>
  <si>
    <t>Partial</t>
  </si>
  <si>
    <t>R106</t>
  </si>
  <si>
    <t>L106</t>
  </si>
  <si>
    <t>R107</t>
  </si>
  <si>
    <t>L107</t>
  </si>
  <si>
    <t>R108</t>
  </si>
  <si>
    <t>L108</t>
  </si>
  <si>
    <t>R109</t>
  </si>
  <si>
    <t>L109</t>
  </si>
  <si>
    <t>R110</t>
  </si>
  <si>
    <t>L110</t>
  </si>
  <si>
    <t>R111</t>
  </si>
  <si>
    <t>L111</t>
  </si>
  <si>
    <t>R112</t>
  </si>
  <si>
    <t>L112</t>
  </si>
  <si>
    <t>R113</t>
  </si>
  <si>
    <t>L113</t>
  </si>
  <si>
    <t>R114</t>
  </si>
  <si>
    <t>L114</t>
  </si>
  <si>
    <t>R115</t>
  </si>
  <si>
    <t>L115</t>
  </si>
  <si>
    <t>R116</t>
  </si>
  <si>
    <t>L116</t>
  </si>
  <si>
    <t>R117</t>
  </si>
  <si>
    <t>L117</t>
  </si>
  <si>
    <t>R118</t>
  </si>
  <si>
    <t>L118</t>
  </si>
  <si>
    <t>R119</t>
  </si>
  <si>
    <t>L119</t>
  </si>
  <si>
    <t>R120</t>
  </si>
  <si>
    <t>L120</t>
  </si>
  <si>
    <t>R121</t>
  </si>
  <si>
    <t>L121</t>
  </si>
  <si>
    <t>R122</t>
  </si>
  <si>
    <t>L122</t>
  </si>
  <si>
    <t>R123</t>
  </si>
  <si>
    <t>L123</t>
  </si>
  <si>
    <t>R124</t>
  </si>
  <si>
    <t>L124</t>
  </si>
  <si>
    <t>R125</t>
  </si>
  <si>
    <t>L125</t>
  </si>
  <si>
    <t>R126</t>
  </si>
  <si>
    <t>L126</t>
  </si>
  <si>
    <t>R127</t>
  </si>
  <si>
    <t>L127</t>
  </si>
  <si>
    <t>R128</t>
  </si>
  <si>
    <t>L128</t>
  </si>
  <si>
    <t>R129</t>
  </si>
  <si>
    <t>L129</t>
  </si>
  <si>
    <t>R130</t>
  </si>
  <si>
    <t>L130</t>
  </si>
  <si>
    <t>R131</t>
  </si>
  <si>
    <t>L131</t>
  </si>
  <si>
    <t>R132</t>
  </si>
  <si>
    <t>L132</t>
  </si>
  <si>
    <t>R133</t>
  </si>
  <si>
    <t>L133</t>
  </si>
  <si>
    <t>R134</t>
  </si>
  <si>
    <t>L134</t>
  </si>
  <si>
    <t>R135</t>
  </si>
  <si>
    <t>L135</t>
  </si>
  <si>
    <t>R136</t>
  </si>
  <si>
    <t>L136</t>
  </si>
  <si>
    <t>R137</t>
  </si>
  <si>
    <t>L137</t>
  </si>
  <si>
    <t>R138</t>
  </si>
  <si>
    <t>L138</t>
  </si>
  <si>
    <t>R139</t>
  </si>
  <si>
    <t>L139</t>
  </si>
  <si>
    <t>R140</t>
  </si>
  <si>
    <t>L140</t>
  </si>
  <si>
    <t>R141</t>
  </si>
  <si>
    <t>L141</t>
  </si>
  <si>
    <t>R142</t>
  </si>
  <si>
    <t>L142</t>
  </si>
  <si>
    <t>R143</t>
  </si>
  <si>
    <t>L143</t>
  </si>
  <si>
    <t>R144</t>
  </si>
  <si>
    <t>L144</t>
  </si>
  <si>
    <t>R145</t>
  </si>
  <si>
    <t>L145</t>
  </si>
  <si>
    <t>R146</t>
  </si>
  <si>
    <t>L146</t>
  </si>
  <si>
    <t>R147</t>
  </si>
  <si>
    <t>L147</t>
  </si>
  <si>
    <t>R148</t>
  </si>
  <si>
    <t>L148</t>
  </si>
  <si>
    <t>R149</t>
  </si>
  <si>
    <t>L149</t>
  </si>
  <si>
    <t>R150</t>
  </si>
  <si>
    <t>L150</t>
  </si>
  <si>
    <t>R151</t>
  </si>
  <si>
    <t>L151</t>
  </si>
  <si>
    <t>R152</t>
  </si>
  <si>
    <t>L152</t>
  </si>
  <si>
    <t>R153</t>
  </si>
  <si>
    <t>L153</t>
  </si>
  <si>
    <t>R154</t>
  </si>
  <si>
    <t>L154</t>
  </si>
  <si>
    <t>R155</t>
  </si>
  <si>
    <t>L155</t>
  </si>
  <si>
    <t>R156</t>
  </si>
  <si>
    <t>L156</t>
  </si>
  <si>
    <t>R157</t>
  </si>
  <si>
    <t>L157</t>
  </si>
  <si>
    <t>R158</t>
  </si>
  <si>
    <t>L158</t>
  </si>
  <si>
    <t>R159</t>
  </si>
  <si>
    <t>L159</t>
  </si>
  <si>
    <t>R160</t>
  </si>
  <si>
    <t>L160</t>
  </si>
  <si>
    <t>R161</t>
  </si>
  <si>
    <t>L161</t>
  </si>
  <si>
    <t>R162</t>
  </si>
  <si>
    <t>L162</t>
  </si>
  <si>
    <t>R163</t>
  </si>
  <si>
    <t>L163</t>
  </si>
  <si>
    <t>Missed</t>
  </si>
  <si>
    <t>R164</t>
  </si>
  <si>
    <t>L164</t>
  </si>
  <si>
    <t>R165</t>
  </si>
  <si>
    <t>L165</t>
  </si>
  <si>
    <t>R166</t>
  </si>
  <si>
    <t>L166</t>
  </si>
  <si>
    <t>R167</t>
  </si>
  <si>
    <t>L167</t>
  </si>
  <si>
    <t>R168</t>
  </si>
  <si>
    <t>L168</t>
  </si>
  <si>
    <t>R169</t>
  </si>
  <si>
    <t>L169</t>
  </si>
  <si>
    <t>R170</t>
  </si>
  <si>
    <t>L170</t>
  </si>
  <si>
    <t>R171</t>
  </si>
  <si>
    <t>L171</t>
  </si>
  <si>
    <t>R172</t>
  </si>
  <si>
    <t>L172</t>
  </si>
  <si>
    <t>R173</t>
  </si>
  <si>
    <t>L173</t>
  </si>
  <si>
    <t>R174</t>
  </si>
  <si>
    <t>L174</t>
  </si>
  <si>
    <t>R175</t>
  </si>
  <si>
    <t>L175</t>
  </si>
  <si>
    <t>R176</t>
  </si>
  <si>
    <t>L176</t>
  </si>
  <si>
    <t>R177</t>
  </si>
  <si>
    <t>L177</t>
  </si>
  <si>
    <t>R178</t>
  </si>
  <si>
    <t>L178</t>
  </si>
  <si>
    <t>R179</t>
  </si>
  <si>
    <t>L179</t>
  </si>
  <si>
    <t>R180</t>
  </si>
  <si>
    <t>L180</t>
  </si>
  <si>
    <t>R181</t>
  </si>
  <si>
    <t>L181</t>
  </si>
  <si>
    <t>R182</t>
  </si>
  <si>
    <t>L182</t>
  </si>
  <si>
    <t>R183</t>
  </si>
  <si>
    <t>L183</t>
  </si>
  <si>
    <t>R184</t>
  </si>
  <si>
    <t>L184</t>
  </si>
  <si>
    <t>R185</t>
  </si>
  <si>
    <t>L185</t>
  </si>
  <si>
    <t>R186</t>
  </si>
  <si>
    <t>L186</t>
  </si>
  <si>
    <t>R187</t>
  </si>
  <si>
    <t>L187</t>
  </si>
  <si>
    <t>R188</t>
  </si>
  <si>
    <t>L188</t>
  </si>
  <si>
    <t>R189</t>
  </si>
  <si>
    <t>L189</t>
  </si>
  <si>
    <t>R190</t>
  </si>
  <si>
    <t>L190</t>
  </si>
  <si>
    <t>R191</t>
  </si>
  <si>
    <t>L191</t>
  </si>
  <si>
    <t>R192</t>
  </si>
  <si>
    <t>L192</t>
  </si>
  <si>
    <t>R193</t>
  </si>
  <si>
    <t>L193</t>
  </si>
  <si>
    <t>R194</t>
  </si>
  <si>
    <t>L194</t>
  </si>
  <si>
    <t>R195</t>
  </si>
  <si>
    <t>L195</t>
  </si>
  <si>
    <t>R196</t>
  </si>
  <si>
    <t>L196</t>
  </si>
  <si>
    <t>R197</t>
  </si>
  <si>
    <t>L197</t>
  </si>
  <si>
    <t>R198</t>
  </si>
  <si>
    <t>L198</t>
  </si>
  <si>
    <t>R199</t>
  </si>
  <si>
    <t>L199</t>
  </si>
  <si>
    <t>R200</t>
  </si>
  <si>
    <t>L200</t>
  </si>
  <si>
    <t>loan_size_band</t>
  </si>
  <si>
    <t>risk_change</t>
  </si>
  <si>
    <t>total_risk_M02</t>
  </si>
  <si>
    <t>total_risk_M03</t>
  </si>
  <si>
    <t>stuctural_risk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</si>
</sst>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7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PRIME.SHOP\Documents\Sacco_Credit_Analysis_Month2.xlsx" TargetMode="External"/><Relationship Id="rId1" Type="http://schemas.openxmlformats.org/officeDocument/2006/relationships/externalLinkPath" Target="/Users/DEPRIME.SHOP/Documents/Sacco_Credit_Analysis_Month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bers"/>
      <sheetName val="Loans"/>
      <sheetName val="Repayment"/>
      <sheetName val="Risk_Summary"/>
      <sheetName val="Repayment_M03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BAC85-53C7-42E7-A641-201BFB0B384C}" name="Summary3" displayName="Summary3" ref="A1:G202" totalsRowShown="0">
  <autoFilter ref="A1:G202" xr:uid="{A9B1DC04-5E7D-4AC7-9569-80C0BB0D2988}">
    <filterColumn colId="5">
      <filters>
        <filter val="0.00"/>
        <filter val="0.50"/>
        <filter val="-0.50"/>
      </filters>
    </filterColumn>
  </autoFilter>
  <sortState xmlns:xlrd2="http://schemas.microsoft.com/office/spreadsheetml/2017/richdata2" ref="A3:G202">
    <sortCondition descending="1" ref="F2:F202"/>
  </sortState>
  <tableColumns count="7">
    <tableColumn id="1" xr3:uid="{9C09EB4E-0584-4D82-B80A-45B561AF130E}" name="loan_id"/>
    <tableColumn id="2" xr3:uid="{320B0D8F-D914-4074-90D9-99A20F02A97E}" name="risk_weight" dataDxfId="5">
      <calculatedColumnFormula>IF([1]!Repayment3[[#This Row],[payment_status]]="Full",0,IF([1]!Repayment3[[#This Row],[payment_status]]="Partial",0.5,1))</calculatedColumnFormula>
    </tableColumn>
    <tableColumn id="3" xr3:uid="{366B8A9E-4428-4140-A37F-A5B7E380BFE0}" name="stuctural_risk" dataDxfId="4">
      <calculatedColumnFormula>_xlfn.XLOOKUP(Summary3[[#This Row],[loan_id]],[1]!Loans[loan_id],[1]!Loans[structural_risk])</calculatedColumnFormula>
    </tableColumn>
    <tableColumn id="4" xr3:uid="{A4A34F8F-254E-4F33-88BD-69C9C2166F3A}" name="total_risk_M03" dataDxfId="3">
      <calculatedColumnFormula>Summary3[[#This Row],[risk_weight]]+Summary3[[#This Row],[stuctural_risk]]</calculatedColumnFormula>
    </tableColumn>
    <tableColumn id="5" xr3:uid="{2E332F17-CEEF-4D93-93A8-B37C3C1E15E9}" name="total_risk_M02" dataDxfId="2">
      <calculatedColumnFormula>_xlfn.XLOOKUP(Summary3[[#This Row],[loan_id]],[1]!Risk2[loan_id],[1]!Risk2[total_risk])</calculatedColumnFormula>
    </tableColumn>
    <tableColumn id="6" xr3:uid="{000DE78E-1D0B-499B-8032-E7B62AB81DC0}" name="risk_change" dataDxfId="1">
      <calculatedColumnFormula>Summary3[[#This Row],[total_risk_M03]]-Summary3[[#This Row],[total_risk_M02]]</calculatedColumnFormula>
    </tableColumn>
    <tableColumn id="7" xr3:uid="{DB75F983-6BC2-4F7E-88AD-21E550A743B9}" name="loan_size_band" dataDxfId="0">
      <calculatedColumnFormula>_xlfn.XLOOKUP(Summary3[[#This Row],[loan_id]],[1]!Loans[loan_id],[1]!Loans[loan_size_band])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A0F22-28C8-47F5-AF83-9D151A85B92D}" name="Repayment3" displayName="Repayment3" ref="A1:H202" totalsRowShown="0">
  <autoFilter ref="A1:H202" xr:uid="{197B3FBE-93A9-4786-8943-71A91CDFE1BB}"/>
  <tableColumns count="8">
    <tableColumn id="1" xr3:uid="{D35E0A6A-7E0D-47AF-B73D-409147C5580C}" name="repayment_id"/>
    <tableColumn id="2" xr3:uid="{1E3FE0EF-F5F8-4A2D-AA9E-66E0200C6157}" name="loan_id"/>
    <tableColumn id="3" xr3:uid="{E2A2E655-0706-4343-A38E-09444E83507A}" name="month"/>
    <tableColumn id="4" xr3:uid="{05799A79-3C13-4E50-94AD-D5EBA57333C4}" name="amount_due"/>
    <tableColumn id="5" xr3:uid="{C1299209-C2FE-4943-8B3D-710AC4B84F78}" name="amount_paid"/>
    <tableColumn id="6" xr3:uid="{9359BF91-BB96-4366-814D-9C6B0C55B3A2}" name="payment_status"/>
    <tableColumn id="7" xr3:uid="{2AE26CE6-6DF3-4F75-88B9-5DAFFAF7AD54}" name="risk_weight" dataDxfId="6">
      <calculatedColumnFormula>IF(Repayment3[[#This Row],[payment_status]]="Full",0,IF(Repayment3[[#This Row],[payment_status]]="Partial",0.5,1))</calculatedColumnFormula>
    </tableColumn>
    <tableColumn id="8" xr3:uid="{3AB6083B-C24E-401A-AA24-36270F065DC6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9A1D-5D5D-4858-B232-208874742CF2}">
  <dimension ref="A1:G202"/>
  <sheetViews>
    <sheetView tabSelected="1" workbookViewId="0">
      <selection activeCell="F3" sqref="F3"/>
    </sheetView>
  </sheetViews>
  <sheetFormatPr defaultRowHeight="15" x14ac:dyDescent="0.25"/>
  <cols>
    <col min="1" max="1" width="11.42578125" customWidth="1"/>
    <col min="2" max="2" width="13.42578125" customWidth="1"/>
    <col min="3" max="3" width="14.85546875" customWidth="1"/>
    <col min="4" max="4" width="17.85546875" customWidth="1"/>
    <col min="5" max="5" width="16.85546875" customWidth="1"/>
    <col min="6" max="6" width="16.85546875" style="2" customWidth="1"/>
    <col min="7" max="7" width="17.42578125" customWidth="1"/>
  </cols>
  <sheetData>
    <row r="1" spans="1:7" x14ac:dyDescent="0.25">
      <c r="A1" s="1" t="s">
        <v>1</v>
      </c>
      <c r="B1" t="s">
        <v>6</v>
      </c>
      <c r="C1" t="s">
        <v>415</v>
      </c>
      <c r="D1" s="1" t="s">
        <v>414</v>
      </c>
      <c r="E1" s="1" t="s">
        <v>413</v>
      </c>
      <c r="F1" s="3" t="s">
        <v>412</v>
      </c>
      <c r="G1" s="1" t="s">
        <v>411</v>
      </c>
    </row>
    <row r="2" spans="1:7" hidden="1" x14ac:dyDescent="0.25">
      <c r="B2">
        <f>IF([1]!Repayment3[[#This Row],[payment_status]]="Full",0,IF([1]!Repayment3[[#This Row],[payment_status]]="Partial",0.5,1))</f>
        <v>0</v>
      </c>
      <c r="C2" t="e">
        <f>_xlfn.XLOOKUP(Summary3[[#This Row],[loan_id]],[1]!Loans[loan_id],[1]!Loans[structural_risk])</f>
        <v>#N/A</v>
      </c>
      <c r="D2" t="e">
        <f>Summary3[[#This Row],[risk_weight]]+Summary3[[#This Row],[stuctural_risk]]</f>
        <v>#N/A</v>
      </c>
      <c r="E2">
        <f>_xlfn.XLOOKUP(Summary3[[#This Row],[loan_id]],[1]!Risk2[loan_id],[1]!Risk2[total_risk])</f>
        <v>0.8</v>
      </c>
      <c r="F2" s="2" t="e">
        <f>Summary3[[#This Row],[total_risk_M03]]-Summary3[[#This Row],[total_risk_M02]]</f>
        <v>#N/A</v>
      </c>
      <c r="G2" t="e">
        <f>_xlfn.XLOOKUP(Summary3[[#This Row],[loan_id]],[1]!Loans[loan_id],[1]!Loans[loan_size_band])</f>
        <v>#N/A</v>
      </c>
    </row>
    <row r="3" spans="1:7" x14ac:dyDescent="0.25">
      <c r="A3" t="s">
        <v>194</v>
      </c>
      <c r="B3">
        <f>IF([1]!Repayment3[[#This Row],[payment_status]]="Full",0,IF([1]!Repayment3[[#This Row],[payment_status]]="Partial",0.5,1))</f>
        <v>0</v>
      </c>
      <c r="C3">
        <f>_xlfn.XLOOKUP(Summary3[[#This Row],[loan_id]],[1]!Loans[loan_id],[1]!Loans[structural_risk])</f>
        <v>0.8</v>
      </c>
      <c r="D3">
        <f>Summary3[[#This Row],[risk_weight]]+Summary3[[#This Row],[stuctural_risk]]</f>
        <v>0.8</v>
      </c>
      <c r="E3">
        <f>_xlfn.XLOOKUP(Summary3[[#This Row],[loan_id]],[1]!Risk2[loan_id],[1]!Risk2[total_risk])</f>
        <v>0.8</v>
      </c>
      <c r="F3" s="2">
        <f>Summary3[[#This Row],[total_risk_M03]]-Summary3[[#This Row],[total_risk_M02]]</f>
        <v>0</v>
      </c>
      <c r="G3" t="str">
        <f>_xlfn.XLOOKUP(Summary3[[#This Row],[loan_id]],[1]!Loans[loan_id],[1]!Loans[loan_size_band])</f>
        <v>Large</v>
      </c>
    </row>
    <row r="4" spans="1:7" x14ac:dyDescent="0.25">
      <c r="A4" t="s">
        <v>196</v>
      </c>
      <c r="B4">
        <f>IF([1]!Repayment3[[#This Row],[payment_status]]="Full",0,IF([1]!Repayment3[[#This Row],[payment_status]]="Partial",0.5,1))</f>
        <v>0</v>
      </c>
      <c r="C4">
        <f>_xlfn.XLOOKUP(Summary3[[#This Row],[loan_id]],[1]!Loans[loan_id],[1]!Loans[structural_risk])</f>
        <v>0.8</v>
      </c>
      <c r="D4">
        <f>Summary3[[#This Row],[risk_weight]]+Summary3[[#This Row],[stuctural_risk]]</f>
        <v>0.8</v>
      </c>
      <c r="E4">
        <f>_xlfn.XLOOKUP(Summary3[[#This Row],[loan_id]],[1]!Risk2[loan_id],[1]!Risk2[total_risk])</f>
        <v>0.8</v>
      </c>
      <c r="F4" s="2">
        <f>Summary3[[#This Row],[total_risk_M03]]-Summary3[[#This Row],[total_risk_M02]]</f>
        <v>0</v>
      </c>
      <c r="G4" t="str">
        <f>_xlfn.XLOOKUP(Summary3[[#This Row],[loan_id]],[1]!Loans[loan_id],[1]!Loans[loan_size_band])</f>
        <v>Large</v>
      </c>
    </row>
    <row r="5" spans="1:7" x14ac:dyDescent="0.25">
      <c r="A5" t="s">
        <v>198</v>
      </c>
      <c r="B5">
        <f>IF([1]!Repayment3[[#This Row],[payment_status]]="Full",0,IF([1]!Repayment3[[#This Row],[payment_status]]="Partial",0.5,1))</f>
        <v>0</v>
      </c>
      <c r="C5">
        <f>_xlfn.XLOOKUP(Summary3[[#This Row],[loan_id]],[1]!Loans[loan_id],[1]!Loans[structural_risk])</f>
        <v>0.8</v>
      </c>
      <c r="D5">
        <f>Summary3[[#This Row],[risk_weight]]+Summary3[[#This Row],[stuctural_risk]]</f>
        <v>0.8</v>
      </c>
      <c r="E5">
        <f>_xlfn.XLOOKUP(Summary3[[#This Row],[loan_id]],[1]!Risk2[loan_id],[1]!Risk2[total_risk])</f>
        <v>0.8</v>
      </c>
      <c r="F5" s="2">
        <f>Summary3[[#This Row],[total_risk_M03]]-Summary3[[#This Row],[total_risk_M02]]</f>
        <v>0</v>
      </c>
      <c r="G5" t="str">
        <f>_xlfn.XLOOKUP(Summary3[[#This Row],[loan_id]],[1]!Loans[loan_id],[1]!Loans[loan_size_band])</f>
        <v>Large</v>
      </c>
    </row>
    <row r="6" spans="1:7" x14ac:dyDescent="0.25">
      <c r="A6" t="s">
        <v>200</v>
      </c>
      <c r="B6">
        <f>IF([1]!Repayment3[[#This Row],[payment_status]]="Full",0,IF([1]!Repayment3[[#This Row],[payment_status]]="Partial",0.5,1))</f>
        <v>0</v>
      </c>
      <c r="C6">
        <f>_xlfn.XLOOKUP(Summary3[[#This Row],[loan_id]],[1]!Loans[loan_id],[1]!Loans[structural_risk])</f>
        <v>0.8</v>
      </c>
      <c r="D6">
        <f>Summary3[[#This Row],[risk_weight]]+Summary3[[#This Row],[stuctural_risk]]</f>
        <v>0.8</v>
      </c>
      <c r="E6">
        <f>_xlfn.XLOOKUP(Summary3[[#This Row],[loan_id]],[1]!Risk2[loan_id],[1]!Risk2[total_risk])</f>
        <v>0.8</v>
      </c>
      <c r="F6" s="2">
        <f>Summary3[[#This Row],[total_risk_M03]]-Summary3[[#This Row],[total_risk_M02]]</f>
        <v>0</v>
      </c>
      <c r="G6" t="str">
        <f>_xlfn.XLOOKUP(Summary3[[#This Row],[loan_id]],[1]!Loans[loan_id],[1]!Loans[loan_size_band])</f>
        <v>Large</v>
      </c>
    </row>
    <row r="7" spans="1:7" x14ac:dyDescent="0.25">
      <c r="A7" t="s">
        <v>202</v>
      </c>
      <c r="B7">
        <f>IF([1]!Repayment3[[#This Row],[payment_status]]="Full",0,IF([1]!Repayment3[[#This Row],[payment_status]]="Partial",0.5,1))</f>
        <v>0</v>
      </c>
      <c r="C7">
        <f>_xlfn.XLOOKUP(Summary3[[#This Row],[loan_id]],[1]!Loans[loan_id],[1]!Loans[structural_risk])</f>
        <v>0.8</v>
      </c>
      <c r="D7">
        <f>Summary3[[#This Row],[risk_weight]]+Summary3[[#This Row],[stuctural_risk]]</f>
        <v>0.8</v>
      </c>
      <c r="E7">
        <f>_xlfn.XLOOKUP(Summary3[[#This Row],[loan_id]],[1]!Risk2[loan_id],[1]!Risk2[total_risk])</f>
        <v>0.8</v>
      </c>
      <c r="F7" s="2">
        <f>Summary3[[#This Row],[total_risk_M03]]-Summary3[[#This Row],[total_risk_M02]]</f>
        <v>0</v>
      </c>
      <c r="G7" t="str">
        <f>_xlfn.XLOOKUP(Summary3[[#This Row],[loan_id]],[1]!Loans[loan_id],[1]!Loans[loan_size_band])</f>
        <v>Large</v>
      </c>
    </row>
    <row r="8" spans="1:7" x14ac:dyDescent="0.25">
      <c r="A8" t="s">
        <v>204</v>
      </c>
      <c r="B8">
        <f>IF([1]!Repayment3[[#This Row],[payment_status]]="Full",0,IF([1]!Repayment3[[#This Row],[payment_status]]="Partial",0.5,1))</f>
        <v>0</v>
      </c>
      <c r="C8">
        <f>_xlfn.XLOOKUP(Summary3[[#This Row],[loan_id]],[1]!Loans[loan_id],[1]!Loans[structural_risk])</f>
        <v>0.8</v>
      </c>
      <c r="D8">
        <f>Summary3[[#This Row],[risk_weight]]+Summary3[[#This Row],[stuctural_risk]]</f>
        <v>0.8</v>
      </c>
      <c r="E8">
        <f>_xlfn.XLOOKUP(Summary3[[#This Row],[loan_id]],[1]!Risk2[loan_id],[1]!Risk2[total_risk])</f>
        <v>0.8</v>
      </c>
      <c r="F8" s="2">
        <f>Summary3[[#This Row],[total_risk_M03]]-Summary3[[#This Row],[total_risk_M02]]</f>
        <v>0</v>
      </c>
      <c r="G8" t="str">
        <f>_xlfn.XLOOKUP(Summary3[[#This Row],[loan_id]],[1]!Loans[loan_id],[1]!Loans[loan_size_band])</f>
        <v>Large</v>
      </c>
    </row>
    <row r="9" spans="1:7" x14ac:dyDescent="0.25">
      <c r="A9" t="s">
        <v>206</v>
      </c>
      <c r="B9">
        <f>IF([1]!Repayment3[[#This Row],[payment_status]]="Full",0,IF([1]!Repayment3[[#This Row],[payment_status]]="Partial",0.5,1))</f>
        <v>0</v>
      </c>
      <c r="C9">
        <f>_xlfn.XLOOKUP(Summary3[[#This Row],[loan_id]],[1]!Loans[loan_id],[1]!Loans[structural_risk])</f>
        <v>0.8</v>
      </c>
      <c r="D9">
        <f>Summary3[[#This Row],[risk_weight]]+Summary3[[#This Row],[stuctural_risk]]</f>
        <v>0.8</v>
      </c>
      <c r="E9">
        <f>_xlfn.XLOOKUP(Summary3[[#This Row],[loan_id]],[1]!Risk2[loan_id],[1]!Risk2[total_risk])</f>
        <v>0.8</v>
      </c>
      <c r="F9" s="2">
        <f>Summary3[[#This Row],[total_risk_M03]]-Summary3[[#This Row],[total_risk_M02]]</f>
        <v>0</v>
      </c>
      <c r="G9" t="str">
        <f>_xlfn.XLOOKUP(Summary3[[#This Row],[loan_id]],[1]!Loans[loan_id],[1]!Loans[loan_size_band])</f>
        <v>Large</v>
      </c>
    </row>
    <row r="10" spans="1:7" x14ac:dyDescent="0.25">
      <c r="A10" t="s">
        <v>208</v>
      </c>
      <c r="B10">
        <f>IF([1]!Repayment3[[#This Row],[payment_status]]="Full",0,IF([1]!Repayment3[[#This Row],[payment_status]]="Partial",0.5,1))</f>
        <v>0</v>
      </c>
      <c r="C10">
        <f>_xlfn.XLOOKUP(Summary3[[#This Row],[loan_id]],[1]!Loans[loan_id],[1]!Loans[structural_risk])</f>
        <v>0.8</v>
      </c>
      <c r="D10">
        <f>Summary3[[#This Row],[risk_weight]]+Summary3[[#This Row],[stuctural_risk]]</f>
        <v>0.8</v>
      </c>
      <c r="E10">
        <f>_xlfn.XLOOKUP(Summary3[[#This Row],[loan_id]],[1]!Risk2[loan_id],[1]!Risk2[total_risk])</f>
        <v>0.8</v>
      </c>
      <c r="F10" s="2">
        <f>Summary3[[#This Row],[total_risk_M03]]-Summary3[[#This Row],[total_risk_M02]]</f>
        <v>0</v>
      </c>
      <c r="G10" t="str">
        <f>_xlfn.XLOOKUP(Summary3[[#This Row],[loan_id]],[1]!Loans[loan_id],[1]!Loans[loan_size_band])</f>
        <v>Large</v>
      </c>
    </row>
    <row r="11" spans="1:7" x14ac:dyDescent="0.25">
      <c r="A11" t="s">
        <v>210</v>
      </c>
      <c r="B11">
        <f>IF([1]!Repayment3[[#This Row],[payment_status]]="Full",0,IF([1]!Repayment3[[#This Row],[payment_status]]="Partial",0.5,1))</f>
        <v>0</v>
      </c>
      <c r="C11">
        <f>_xlfn.XLOOKUP(Summary3[[#This Row],[loan_id]],[1]!Loans[loan_id],[1]!Loans[structural_risk])</f>
        <v>0.8</v>
      </c>
      <c r="D11">
        <f>Summary3[[#This Row],[risk_weight]]+Summary3[[#This Row],[stuctural_risk]]</f>
        <v>0.8</v>
      </c>
      <c r="E11">
        <f>_xlfn.XLOOKUP(Summary3[[#This Row],[loan_id]],[1]!Risk2[loan_id],[1]!Risk2[total_risk])</f>
        <v>0.8</v>
      </c>
      <c r="F11" s="2">
        <f>Summary3[[#This Row],[total_risk_M03]]-Summary3[[#This Row],[total_risk_M02]]</f>
        <v>0</v>
      </c>
      <c r="G11" t="str">
        <f>_xlfn.XLOOKUP(Summary3[[#This Row],[loan_id]],[1]!Loans[loan_id],[1]!Loans[loan_size_band])</f>
        <v>Large</v>
      </c>
    </row>
    <row r="12" spans="1:7" x14ac:dyDescent="0.25">
      <c r="A12" t="s">
        <v>212</v>
      </c>
      <c r="B12">
        <f>IF([1]!Repayment3[[#This Row],[payment_status]]="Full",0,IF([1]!Repayment3[[#This Row],[payment_status]]="Partial",0.5,1))</f>
        <v>0</v>
      </c>
      <c r="C12">
        <f>_xlfn.XLOOKUP(Summary3[[#This Row],[loan_id]],[1]!Loans[loan_id],[1]!Loans[structural_risk])</f>
        <v>0.8</v>
      </c>
      <c r="D12">
        <f>Summary3[[#This Row],[risk_weight]]+Summary3[[#This Row],[stuctural_risk]]</f>
        <v>0.8</v>
      </c>
      <c r="E12">
        <f>_xlfn.XLOOKUP(Summary3[[#This Row],[loan_id]],[1]!Risk2[loan_id],[1]!Risk2[total_risk])</f>
        <v>0.8</v>
      </c>
      <c r="F12" s="2">
        <f>Summary3[[#This Row],[total_risk_M03]]-Summary3[[#This Row],[total_risk_M02]]</f>
        <v>0</v>
      </c>
      <c r="G12" t="str">
        <f>_xlfn.XLOOKUP(Summary3[[#This Row],[loan_id]],[1]!Loans[loan_id],[1]!Loans[loan_size_band])</f>
        <v>Large</v>
      </c>
    </row>
    <row r="13" spans="1:7" x14ac:dyDescent="0.25">
      <c r="A13" t="s">
        <v>214</v>
      </c>
      <c r="B13">
        <f>IF([1]!Repayment3[[#This Row],[payment_status]]="Full",0,IF([1]!Repayment3[[#This Row],[payment_status]]="Partial",0.5,1))</f>
        <v>0</v>
      </c>
      <c r="C13">
        <f>_xlfn.XLOOKUP(Summary3[[#This Row],[loan_id]],[1]!Loans[loan_id],[1]!Loans[structural_risk])</f>
        <v>0.8</v>
      </c>
      <c r="D13">
        <f>Summary3[[#This Row],[risk_weight]]+Summary3[[#This Row],[stuctural_risk]]</f>
        <v>0.8</v>
      </c>
      <c r="E13">
        <f>_xlfn.XLOOKUP(Summary3[[#This Row],[loan_id]],[1]!Risk2[loan_id],[1]!Risk2[total_risk])</f>
        <v>0.8</v>
      </c>
      <c r="F13" s="2">
        <f>Summary3[[#This Row],[total_risk_M03]]-Summary3[[#This Row],[total_risk_M02]]</f>
        <v>0</v>
      </c>
      <c r="G13" t="str">
        <f>_xlfn.XLOOKUP(Summary3[[#This Row],[loan_id]],[1]!Loans[loan_id],[1]!Loans[loan_size_band])</f>
        <v>Large</v>
      </c>
    </row>
    <row r="14" spans="1:7" x14ac:dyDescent="0.25">
      <c r="A14" t="s">
        <v>216</v>
      </c>
      <c r="B14">
        <f>IF([1]!Repayment3[[#This Row],[payment_status]]="Full",0,IF([1]!Repayment3[[#This Row],[payment_status]]="Partial",0.5,1))</f>
        <v>0</v>
      </c>
      <c r="C14">
        <f>_xlfn.XLOOKUP(Summary3[[#This Row],[loan_id]],[1]!Loans[loan_id],[1]!Loans[structural_risk])</f>
        <v>0.8</v>
      </c>
      <c r="D14">
        <f>Summary3[[#This Row],[risk_weight]]+Summary3[[#This Row],[stuctural_risk]]</f>
        <v>0.8</v>
      </c>
      <c r="E14">
        <f>_xlfn.XLOOKUP(Summary3[[#This Row],[loan_id]],[1]!Risk2[loan_id],[1]!Risk2[total_risk])</f>
        <v>0.8</v>
      </c>
      <c r="F14" s="2">
        <f>Summary3[[#This Row],[total_risk_M03]]-Summary3[[#This Row],[total_risk_M02]]</f>
        <v>0</v>
      </c>
      <c r="G14" t="str">
        <f>_xlfn.XLOOKUP(Summary3[[#This Row],[loan_id]],[1]!Loans[loan_id],[1]!Loans[loan_size_band])</f>
        <v>Large</v>
      </c>
    </row>
    <row r="15" spans="1:7" x14ac:dyDescent="0.25">
      <c r="A15" t="s">
        <v>218</v>
      </c>
      <c r="B15">
        <f>IF([1]!Repayment3[[#This Row],[payment_status]]="Full",0,IF([1]!Repayment3[[#This Row],[payment_status]]="Partial",0.5,1))</f>
        <v>0</v>
      </c>
      <c r="C15">
        <f>_xlfn.XLOOKUP(Summary3[[#This Row],[loan_id]],[1]!Loans[loan_id],[1]!Loans[structural_risk])</f>
        <v>0.8</v>
      </c>
      <c r="D15">
        <f>Summary3[[#This Row],[risk_weight]]+Summary3[[#This Row],[stuctural_risk]]</f>
        <v>0.8</v>
      </c>
      <c r="E15">
        <f>_xlfn.XLOOKUP(Summary3[[#This Row],[loan_id]],[1]!Risk2[loan_id],[1]!Risk2[total_risk])</f>
        <v>0.8</v>
      </c>
      <c r="F15" s="2">
        <f>Summary3[[#This Row],[total_risk_M03]]-Summary3[[#This Row],[total_risk_M02]]</f>
        <v>0</v>
      </c>
      <c r="G15" t="str">
        <f>_xlfn.XLOOKUP(Summary3[[#This Row],[loan_id]],[1]!Loans[loan_id],[1]!Loans[loan_size_band])</f>
        <v>Large</v>
      </c>
    </row>
    <row r="16" spans="1:7" x14ac:dyDescent="0.25">
      <c r="A16" t="s">
        <v>221</v>
      </c>
      <c r="B16">
        <f>IF([1]!Repayment3[[#This Row],[payment_status]]="Full",0,IF([1]!Repayment3[[#This Row],[payment_status]]="Partial",0.5,1))</f>
        <v>0</v>
      </c>
      <c r="C16">
        <f>_xlfn.XLOOKUP(Summary3[[#This Row],[loan_id]],[1]!Loans[loan_id],[1]!Loans[structural_risk])</f>
        <v>0.8</v>
      </c>
      <c r="D16">
        <f>Summary3[[#This Row],[risk_weight]]+Summary3[[#This Row],[stuctural_risk]]</f>
        <v>0.8</v>
      </c>
      <c r="E16">
        <f>_xlfn.XLOOKUP(Summary3[[#This Row],[loan_id]],[1]!Risk2[loan_id],[1]!Risk2[total_risk])</f>
        <v>0.8</v>
      </c>
      <c r="F16" s="2">
        <f>Summary3[[#This Row],[total_risk_M03]]-Summary3[[#This Row],[total_risk_M02]]</f>
        <v>0</v>
      </c>
      <c r="G16" t="str">
        <f>_xlfn.XLOOKUP(Summary3[[#This Row],[loan_id]],[1]!Loans[loan_id],[1]!Loans[loan_size_band])</f>
        <v>Large</v>
      </c>
    </row>
    <row r="17" spans="1:7" x14ac:dyDescent="0.25">
      <c r="A17" t="s">
        <v>223</v>
      </c>
      <c r="B17">
        <f>IF([1]!Repayment3[[#This Row],[payment_status]]="Full",0,IF([1]!Repayment3[[#This Row],[payment_status]]="Partial",0.5,1))</f>
        <v>0</v>
      </c>
      <c r="C17">
        <f>_xlfn.XLOOKUP(Summary3[[#This Row],[loan_id]],[1]!Loans[loan_id],[1]!Loans[structural_risk])</f>
        <v>0.8</v>
      </c>
      <c r="D17">
        <f>Summary3[[#This Row],[risk_weight]]+Summary3[[#This Row],[stuctural_risk]]</f>
        <v>0.8</v>
      </c>
      <c r="E17">
        <f>_xlfn.XLOOKUP(Summary3[[#This Row],[loan_id]],[1]!Risk2[loan_id],[1]!Risk2[total_risk])</f>
        <v>0.8</v>
      </c>
      <c r="F17" s="2">
        <f>Summary3[[#This Row],[total_risk_M03]]-Summary3[[#This Row],[total_risk_M02]]</f>
        <v>0</v>
      </c>
      <c r="G17" t="str">
        <f>_xlfn.XLOOKUP(Summary3[[#This Row],[loan_id]],[1]!Loans[loan_id],[1]!Loans[loan_size_band])</f>
        <v>Large</v>
      </c>
    </row>
    <row r="18" spans="1:7" x14ac:dyDescent="0.25">
      <c r="A18" t="s">
        <v>225</v>
      </c>
      <c r="B18">
        <f>IF([1]!Repayment3[[#This Row],[payment_status]]="Full",0,IF([1]!Repayment3[[#This Row],[payment_status]]="Partial",0.5,1))</f>
        <v>0</v>
      </c>
      <c r="C18">
        <f>_xlfn.XLOOKUP(Summary3[[#This Row],[loan_id]],[1]!Loans[loan_id],[1]!Loans[structural_risk])</f>
        <v>0.8</v>
      </c>
      <c r="D18">
        <f>Summary3[[#This Row],[risk_weight]]+Summary3[[#This Row],[stuctural_risk]]</f>
        <v>0.8</v>
      </c>
      <c r="E18">
        <f>_xlfn.XLOOKUP(Summary3[[#This Row],[loan_id]],[1]!Risk2[loan_id],[1]!Risk2[total_risk])</f>
        <v>0.8</v>
      </c>
      <c r="F18" s="2">
        <f>Summary3[[#This Row],[total_risk_M03]]-Summary3[[#This Row],[total_risk_M02]]</f>
        <v>0</v>
      </c>
      <c r="G18" t="str">
        <f>_xlfn.XLOOKUP(Summary3[[#This Row],[loan_id]],[1]!Loans[loan_id],[1]!Loans[loan_size_band])</f>
        <v>Large</v>
      </c>
    </row>
    <row r="19" spans="1:7" x14ac:dyDescent="0.25">
      <c r="A19" t="s">
        <v>227</v>
      </c>
      <c r="B19">
        <f>IF([1]!Repayment3[[#This Row],[payment_status]]="Full",0,IF([1]!Repayment3[[#This Row],[payment_status]]="Partial",0.5,1))</f>
        <v>0</v>
      </c>
      <c r="C19">
        <f>_xlfn.XLOOKUP(Summary3[[#This Row],[loan_id]],[1]!Loans[loan_id],[1]!Loans[structural_risk])</f>
        <v>0.8</v>
      </c>
      <c r="D19">
        <f>Summary3[[#This Row],[risk_weight]]+Summary3[[#This Row],[stuctural_risk]]</f>
        <v>0.8</v>
      </c>
      <c r="E19">
        <f>_xlfn.XLOOKUP(Summary3[[#This Row],[loan_id]],[1]!Risk2[loan_id],[1]!Risk2[total_risk])</f>
        <v>0.8</v>
      </c>
      <c r="F19" s="2">
        <f>Summary3[[#This Row],[total_risk_M03]]-Summary3[[#This Row],[total_risk_M02]]</f>
        <v>0</v>
      </c>
      <c r="G19" t="str">
        <f>_xlfn.XLOOKUP(Summary3[[#This Row],[loan_id]],[1]!Loans[loan_id],[1]!Loans[loan_size_band])</f>
        <v>Large</v>
      </c>
    </row>
    <row r="20" spans="1:7" x14ac:dyDescent="0.25">
      <c r="A20" t="s">
        <v>229</v>
      </c>
      <c r="B20">
        <f>IF([1]!Repayment3[[#This Row],[payment_status]]="Full",0,IF([1]!Repayment3[[#This Row],[payment_status]]="Partial",0.5,1))</f>
        <v>0</v>
      </c>
      <c r="C20">
        <f>_xlfn.XLOOKUP(Summary3[[#This Row],[loan_id]],[1]!Loans[loan_id],[1]!Loans[structural_risk])</f>
        <v>0.8</v>
      </c>
      <c r="D20">
        <f>Summary3[[#This Row],[risk_weight]]+Summary3[[#This Row],[stuctural_risk]]</f>
        <v>0.8</v>
      </c>
      <c r="E20">
        <f>_xlfn.XLOOKUP(Summary3[[#This Row],[loan_id]],[1]!Risk2[loan_id],[1]!Risk2[total_risk])</f>
        <v>0.8</v>
      </c>
      <c r="F20" s="2">
        <f>Summary3[[#This Row],[total_risk_M03]]-Summary3[[#This Row],[total_risk_M02]]</f>
        <v>0</v>
      </c>
      <c r="G20" t="str">
        <f>_xlfn.XLOOKUP(Summary3[[#This Row],[loan_id]],[1]!Loans[loan_id],[1]!Loans[loan_size_band])</f>
        <v>Large</v>
      </c>
    </row>
    <row r="21" spans="1:7" x14ac:dyDescent="0.25">
      <c r="A21" t="s">
        <v>231</v>
      </c>
      <c r="B21">
        <f>IF([1]!Repayment3[[#This Row],[payment_status]]="Full",0,IF([1]!Repayment3[[#This Row],[payment_status]]="Partial",0.5,1))</f>
        <v>0</v>
      </c>
      <c r="C21">
        <f>_xlfn.XLOOKUP(Summary3[[#This Row],[loan_id]],[1]!Loans[loan_id],[1]!Loans[structural_risk])</f>
        <v>0.8</v>
      </c>
      <c r="D21">
        <f>Summary3[[#This Row],[risk_weight]]+Summary3[[#This Row],[stuctural_risk]]</f>
        <v>0.8</v>
      </c>
      <c r="E21">
        <f>_xlfn.XLOOKUP(Summary3[[#This Row],[loan_id]],[1]!Risk2[loan_id],[1]!Risk2[total_risk])</f>
        <v>0.8</v>
      </c>
      <c r="F21" s="2">
        <f>Summary3[[#This Row],[total_risk_M03]]-Summary3[[#This Row],[total_risk_M02]]</f>
        <v>0</v>
      </c>
      <c r="G21" t="str">
        <f>_xlfn.XLOOKUP(Summary3[[#This Row],[loan_id]],[1]!Loans[loan_id],[1]!Loans[loan_size_band])</f>
        <v>Large</v>
      </c>
    </row>
    <row r="22" spans="1:7" x14ac:dyDescent="0.25">
      <c r="A22" t="s">
        <v>233</v>
      </c>
      <c r="B22">
        <f>IF([1]!Repayment3[[#This Row],[payment_status]]="Full",0,IF([1]!Repayment3[[#This Row],[payment_status]]="Partial",0.5,1))</f>
        <v>0</v>
      </c>
      <c r="C22">
        <f>_xlfn.XLOOKUP(Summary3[[#This Row],[loan_id]],[1]!Loans[loan_id],[1]!Loans[structural_risk])</f>
        <v>0.8</v>
      </c>
      <c r="D22">
        <f>Summary3[[#This Row],[risk_weight]]+Summary3[[#This Row],[stuctural_risk]]</f>
        <v>0.8</v>
      </c>
      <c r="E22">
        <f>_xlfn.XLOOKUP(Summary3[[#This Row],[loan_id]],[1]!Risk2[loan_id],[1]!Risk2[total_risk])</f>
        <v>0.8</v>
      </c>
      <c r="F22" s="2">
        <f>Summary3[[#This Row],[total_risk_M03]]-Summary3[[#This Row],[total_risk_M02]]</f>
        <v>0</v>
      </c>
      <c r="G22" t="str">
        <f>_xlfn.XLOOKUP(Summary3[[#This Row],[loan_id]],[1]!Loans[loan_id],[1]!Loans[loan_size_band])</f>
        <v>Large</v>
      </c>
    </row>
    <row r="23" spans="1:7" x14ac:dyDescent="0.25">
      <c r="A23" t="s">
        <v>235</v>
      </c>
      <c r="B23">
        <f>IF([1]!Repayment3[[#This Row],[payment_status]]="Full",0,IF([1]!Repayment3[[#This Row],[payment_status]]="Partial",0.5,1))</f>
        <v>0</v>
      </c>
      <c r="C23">
        <f>_xlfn.XLOOKUP(Summary3[[#This Row],[loan_id]],[1]!Loans[loan_id],[1]!Loans[structural_risk])</f>
        <v>0.8</v>
      </c>
      <c r="D23">
        <f>Summary3[[#This Row],[risk_weight]]+Summary3[[#This Row],[stuctural_risk]]</f>
        <v>0.8</v>
      </c>
      <c r="E23">
        <f>_xlfn.XLOOKUP(Summary3[[#This Row],[loan_id]],[1]!Risk2[loan_id],[1]!Risk2[total_risk])</f>
        <v>0.8</v>
      </c>
      <c r="F23" s="2">
        <f>Summary3[[#This Row],[total_risk_M03]]-Summary3[[#This Row],[total_risk_M02]]</f>
        <v>0</v>
      </c>
      <c r="G23" t="str">
        <f>_xlfn.XLOOKUP(Summary3[[#This Row],[loan_id]],[1]!Loans[loan_id],[1]!Loans[loan_size_band])</f>
        <v>Large</v>
      </c>
    </row>
    <row r="24" spans="1:7" x14ac:dyDescent="0.25">
      <c r="A24" t="s">
        <v>237</v>
      </c>
      <c r="B24">
        <f>IF([1]!Repayment3[[#This Row],[payment_status]]="Full",0,IF([1]!Repayment3[[#This Row],[payment_status]]="Partial",0.5,1))</f>
        <v>0</v>
      </c>
      <c r="C24">
        <f>_xlfn.XLOOKUP(Summary3[[#This Row],[loan_id]],[1]!Loans[loan_id],[1]!Loans[structural_risk])</f>
        <v>0.8</v>
      </c>
      <c r="D24">
        <f>Summary3[[#This Row],[risk_weight]]+Summary3[[#This Row],[stuctural_risk]]</f>
        <v>0.8</v>
      </c>
      <c r="E24">
        <f>_xlfn.XLOOKUP(Summary3[[#This Row],[loan_id]],[1]!Risk2[loan_id],[1]!Risk2[total_risk])</f>
        <v>0.8</v>
      </c>
      <c r="F24" s="2">
        <f>Summary3[[#This Row],[total_risk_M03]]-Summary3[[#This Row],[total_risk_M02]]</f>
        <v>0</v>
      </c>
      <c r="G24" t="str">
        <f>_xlfn.XLOOKUP(Summary3[[#This Row],[loan_id]],[1]!Loans[loan_id],[1]!Loans[loan_size_band])</f>
        <v>Large</v>
      </c>
    </row>
    <row r="25" spans="1:7" x14ac:dyDescent="0.25">
      <c r="A25" t="s">
        <v>239</v>
      </c>
      <c r="B25">
        <f>IF([1]!Repayment3[[#This Row],[payment_status]]="Full",0,IF([1]!Repayment3[[#This Row],[payment_status]]="Partial",0.5,1))</f>
        <v>0</v>
      </c>
      <c r="C25">
        <f>_xlfn.XLOOKUP(Summary3[[#This Row],[loan_id]],[1]!Loans[loan_id],[1]!Loans[structural_risk])</f>
        <v>0.8</v>
      </c>
      <c r="D25">
        <f>Summary3[[#This Row],[risk_weight]]+Summary3[[#This Row],[stuctural_risk]]</f>
        <v>0.8</v>
      </c>
      <c r="E25">
        <f>_xlfn.XLOOKUP(Summary3[[#This Row],[loan_id]],[1]!Risk2[loan_id],[1]!Risk2[total_risk])</f>
        <v>0.8</v>
      </c>
      <c r="F25" s="2">
        <f>Summary3[[#This Row],[total_risk_M03]]-Summary3[[#This Row],[total_risk_M02]]</f>
        <v>0</v>
      </c>
      <c r="G25" t="str">
        <f>_xlfn.XLOOKUP(Summary3[[#This Row],[loan_id]],[1]!Loans[loan_id],[1]!Loans[loan_size_band])</f>
        <v>Large</v>
      </c>
    </row>
    <row r="26" spans="1:7" x14ac:dyDescent="0.25">
      <c r="A26" t="s">
        <v>241</v>
      </c>
      <c r="B26">
        <f>IF([1]!Repayment3[[#This Row],[payment_status]]="Full",0,IF([1]!Repayment3[[#This Row],[payment_status]]="Partial",0.5,1))</f>
        <v>0</v>
      </c>
      <c r="C26">
        <f>_xlfn.XLOOKUP(Summary3[[#This Row],[loan_id]],[1]!Loans[loan_id],[1]!Loans[structural_risk])</f>
        <v>0.8</v>
      </c>
      <c r="D26">
        <f>Summary3[[#This Row],[risk_weight]]+Summary3[[#This Row],[stuctural_risk]]</f>
        <v>0.8</v>
      </c>
      <c r="E26">
        <f>_xlfn.XLOOKUP(Summary3[[#This Row],[loan_id]],[1]!Risk2[loan_id],[1]!Risk2[total_risk])</f>
        <v>0.8</v>
      </c>
      <c r="F26" s="2">
        <f>Summary3[[#This Row],[total_risk_M03]]-Summary3[[#This Row],[total_risk_M02]]</f>
        <v>0</v>
      </c>
      <c r="G26" t="str">
        <f>_xlfn.XLOOKUP(Summary3[[#This Row],[loan_id]],[1]!Loans[loan_id],[1]!Loans[loan_size_band])</f>
        <v>Large</v>
      </c>
    </row>
    <row r="27" spans="1:7" x14ac:dyDescent="0.25">
      <c r="A27" t="s">
        <v>245</v>
      </c>
      <c r="B27">
        <f>IF([1]!Repayment3[[#This Row],[payment_status]]="Full",0,IF([1]!Repayment3[[#This Row],[payment_status]]="Partial",0.5,1))</f>
        <v>0</v>
      </c>
      <c r="C27">
        <f>_xlfn.XLOOKUP(Summary3[[#This Row],[loan_id]],[1]!Loans[loan_id],[1]!Loans[structural_risk])</f>
        <v>0.8</v>
      </c>
      <c r="D27">
        <f>Summary3[[#This Row],[risk_weight]]+Summary3[[#This Row],[stuctural_risk]]</f>
        <v>0.8</v>
      </c>
      <c r="E27">
        <f>_xlfn.XLOOKUP(Summary3[[#This Row],[loan_id]],[1]!Risk2[loan_id],[1]!Risk2[total_risk])</f>
        <v>0.8</v>
      </c>
      <c r="F27" s="2">
        <f>Summary3[[#This Row],[total_risk_M03]]-Summary3[[#This Row],[total_risk_M02]]</f>
        <v>0</v>
      </c>
      <c r="G27" t="str">
        <f>_xlfn.XLOOKUP(Summary3[[#This Row],[loan_id]],[1]!Loans[loan_id],[1]!Loans[loan_size_band])</f>
        <v>Large</v>
      </c>
    </row>
    <row r="28" spans="1:7" x14ac:dyDescent="0.25">
      <c r="A28" t="s">
        <v>247</v>
      </c>
      <c r="B28">
        <f>IF([1]!Repayment3[[#This Row],[payment_status]]="Full",0,IF([1]!Repayment3[[#This Row],[payment_status]]="Partial",0.5,1))</f>
        <v>0</v>
      </c>
      <c r="C28">
        <f>_xlfn.XLOOKUP(Summary3[[#This Row],[loan_id]],[1]!Loans[loan_id],[1]!Loans[structural_risk])</f>
        <v>0.8</v>
      </c>
      <c r="D28">
        <f>Summary3[[#This Row],[risk_weight]]+Summary3[[#This Row],[stuctural_risk]]</f>
        <v>0.8</v>
      </c>
      <c r="E28">
        <f>_xlfn.XLOOKUP(Summary3[[#This Row],[loan_id]],[1]!Risk2[loan_id],[1]!Risk2[total_risk])</f>
        <v>0.8</v>
      </c>
      <c r="F28" s="2">
        <f>Summary3[[#This Row],[total_risk_M03]]-Summary3[[#This Row],[total_risk_M02]]</f>
        <v>0</v>
      </c>
      <c r="G28" t="str">
        <f>_xlfn.XLOOKUP(Summary3[[#This Row],[loan_id]],[1]!Loans[loan_id],[1]!Loans[loan_size_band])</f>
        <v>Large</v>
      </c>
    </row>
    <row r="29" spans="1:7" x14ac:dyDescent="0.25">
      <c r="A29" t="s">
        <v>249</v>
      </c>
      <c r="B29">
        <f>IF([1]!Repayment3[[#This Row],[payment_status]]="Full",0,IF([1]!Repayment3[[#This Row],[payment_status]]="Partial",0.5,1))</f>
        <v>0</v>
      </c>
      <c r="C29">
        <f>_xlfn.XLOOKUP(Summary3[[#This Row],[loan_id]],[1]!Loans[loan_id],[1]!Loans[structural_risk])</f>
        <v>0.8</v>
      </c>
      <c r="D29">
        <f>Summary3[[#This Row],[risk_weight]]+Summary3[[#This Row],[stuctural_risk]]</f>
        <v>0.8</v>
      </c>
      <c r="E29">
        <f>_xlfn.XLOOKUP(Summary3[[#This Row],[loan_id]],[1]!Risk2[loan_id],[1]!Risk2[total_risk])</f>
        <v>0.8</v>
      </c>
      <c r="F29" s="2">
        <f>Summary3[[#This Row],[total_risk_M03]]-Summary3[[#This Row],[total_risk_M02]]</f>
        <v>0</v>
      </c>
      <c r="G29" t="str">
        <f>_xlfn.XLOOKUP(Summary3[[#This Row],[loan_id]],[1]!Loans[loan_id],[1]!Loans[loan_size_band])</f>
        <v>Large</v>
      </c>
    </row>
    <row r="30" spans="1:7" x14ac:dyDescent="0.25">
      <c r="A30" t="s">
        <v>251</v>
      </c>
      <c r="B30">
        <f>IF([1]!Repayment3[[#This Row],[payment_status]]="Full",0,IF([1]!Repayment3[[#This Row],[payment_status]]="Partial",0.5,1))</f>
        <v>0</v>
      </c>
      <c r="C30">
        <f>_xlfn.XLOOKUP(Summary3[[#This Row],[loan_id]],[1]!Loans[loan_id],[1]!Loans[structural_risk])</f>
        <v>0.8</v>
      </c>
      <c r="D30">
        <f>Summary3[[#This Row],[risk_weight]]+Summary3[[#This Row],[stuctural_risk]]</f>
        <v>0.8</v>
      </c>
      <c r="E30">
        <f>_xlfn.XLOOKUP(Summary3[[#This Row],[loan_id]],[1]!Risk2[loan_id],[1]!Risk2[total_risk])</f>
        <v>0.8</v>
      </c>
      <c r="F30" s="2">
        <f>Summary3[[#This Row],[total_risk_M03]]-Summary3[[#This Row],[total_risk_M02]]</f>
        <v>0</v>
      </c>
      <c r="G30" t="str">
        <f>_xlfn.XLOOKUP(Summary3[[#This Row],[loan_id]],[1]!Loans[loan_id],[1]!Loans[loan_size_band])</f>
        <v>Large</v>
      </c>
    </row>
    <row r="31" spans="1:7" x14ac:dyDescent="0.25">
      <c r="A31" t="s">
        <v>259</v>
      </c>
      <c r="B31">
        <f>IF([1]!Repayment3[[#This Row],[payment_status]]="Full",0,IF([1]!Repayment3[[#This Row],[payment_status]]="Partial",0.5,1))</f>
        <v>0</v>
      </c>
      <c r="C31">
        <f>_xlfn.XLOOKUP(Summary3[[#This Row],[loan_id]],[1]!Loans[loan_id],[1]!Loans[structural_risk])</f>
        <v>0.8</v>
      </c>
      <c r="D31">
        <f>Summary3[[#This Row],[risk_weight]]+Summary3[[#This Row],[stuctural_risk]]</f>
        <v>0.8</v>
      </c>
      <c r="E31">
        <f>_xlfn.XLOOKUP(Summary3[[#This Row],[loan_id]],[1]!Risk2[loan_id],[1]!Risk2[total_risk])</f>
        <v>0.8</v>
      </c>
      <c r="F31" s="2">
        <f>Summary3[[#This Row],[total_risk_M03]]-Summary3[[#This Row],[total_risk_M02]]</f>
        <v>0</v>
      </c>
      <c r="G31" t="str">
        <f>_xlfn.XLOOKUP(Summary3[[#This Row],[loan_id]],[1]!Loans[loan_id],[1]!Loans[loan_size_band])</f>
        <v>Large</v>
      </c>
    </row>
    <row r="32" spans="1:7" x14ac:dyDescent="0.25">
      <c r="A32" t="s">
        <v>261</v>
      </c>
      <c r="B32">
        <f>IF([1]!Repayment3[[#This Row],[payment_status]]="Full",0,IF([1]!Repayment3[[#This Row],[payment_status]]="Partial",0.5,1))</f>
        <v>0</v>
      </c>
      <c r="C32">
        <f>_xlfn.XLOOKUP(Summary3[[#This Row],[loan_id]],[1]!Loans[loan_id],[1]!Loans[structural_risk])</f>
        <v>0.8</v>
      </c>
      <c r="D32">
        <f>Summary3[[#This Row],[risk_weight]]+Summary3[[#This Row],[stuctural_risk]]</f>
        <v>0.8</v>
      </c>
      <c r="E32">
        <f>_xlfn.XLOOKUP(Summary3[[#This Row],[loan_id]],[1]!Risk2[loan_id],[1]!Risk2[total_risk])</f>
        <v>0.8</v>
      </c>
      <c r="F32" s="2">
        <f>Summary3[[#This Row],[total_risk_M03]]-Summary3[[#This Row],[total_risk_M02]]</f>
        <v>0</v>
      </c>
      <c r="G32" t="str">
        <f>_xlfn.XLOOKUP(Summary3[[#This Row],[loan_id]],[1]!Loans[loan_id],[1]!Loans[loan_size_band])</f>
        <v>Large</v>
      </c>
    </row>
    <row r="33" spans="1:7" x14ac:dyDescent="0.25">
      <c r="A33" t="s">
        <v>263</v>
      </c>
      <c r="B33">
        <f>IF([1]!Repayment3[[#This Row],[payment_status]]="Full",0,IF([1]!Repayment3[[#This Row],[payment_status]]="Partial",0.5,1))</f>
        <v>0</v>
      </c>
      <c r="C33">
        <f>_xlfn.XLOOKUP(Summary3[[#This Row],[loan_id]],[1]!Loans[loan_id],[1]!Loans[structural_risk])</f>
        <v>0.8</v>
      </c>
      <c r="D33">
        <f>Summary3[[#This Row],[risk_weight]]+Summary3[[#This Row],[stuctural_risk]]</f>
        <v>0.8</v>
      </c>
      <c r="E33">
        <f>_xlfn.XLOOKUP(Summary3[[#This Row],[loan_id]],[1]!Risk2[loan_id],[1]!Risk2[total_risk])</f>
        <v>0.8</v>
      </c>
      <c r="F33" s="2">
        <f>Summary3[[#This Row],[total_risk_M03]]-Summary3[[#This Row],[total_risk_M02]]</f>
        <v>0</v>
      </c>
      <c r="G33" t="str">
        <f>_xlfn.XLOOKUP(Summary3[[#This Row],[loan_id]],[1]!Loans[loan_id],[1]!Loans[loan_size_band])</f>
        <v>Large</v>
      </c>
    </row>
    <row r="34" spans="1:7" x14ac:dyDescent="0.25">
      <c r="A34" t="s">
        <v>265</v>
      </c>
      <c r="B34">
        <f>IF([1]!Repayment3[[#This Row],[payment_status]]="Full",0,IF([1]!Repayment3[[#This Row],[payment_status]]="Partial",0.5,1))</f>
        <v>0</v>
      </c>
      <c r="C34">
        <f>_xlfn.XLOOKUP(Summary3[[#This Row],[loan_id]],[1]!Loans[loan_id],[1]!Loans[structural_risk])</f>
        <v>0.8</v>
      </c>
      <c r="D34">
        <f>Summary3[[#This Row],[risk_weight]]+Summary3[[#This Row],[stuctural_risk]]</f>
        <v>0.8</v>
      </c>
      <c r="E34">
        <f>_xlfn.XLOOKUP(Summary3[[#This Row],[loan_id]],[1]!Risk2[loan_id],[1]!Risk2[total_risk])</f>
        <v>0.8</v>
      </c>
      <c r="F34" s="2">
        <f>Summary3[[#This Row],[total_risk_M03]]-Summary3[[#This Row],[total_risk_M02]]</f>
        <v>0</v>
      </c>
      <c r="G34" t="str">
        <f>_xlfn.XLOOKUP(Summary3[[#This Row],[loan_id]],[1]!Loans[loan_id],[1]!Loans[loan_size_band])</f>
        <v>Large</v>
      </c>
    </row>
    <row r="35" spans="1:7" x14ac:dyDescent="0.25">
      <c r="A35" t="s">
        <v>267</v>
      </c>
      <c r="B35">
        <f>IF([1]!Repayment3[[#This Row],[payment_status]]="Full",0,IF([1]!Repayment3[[#This Row],[payment_status]]="Partial",0.5,1))</f>
        <v>0</v>
      </c>
      <c r="C35">
        <f>_xlfn.XLOOKUP(Summary3[[#This Row],[loan_id]],[1]!Loans[loan_id],[1]!Loans[structural_risk])</f>
        <v>0.8</v>
      </c>
      <c r="D35">
        <f>Summary3[[#This Row],[risk_weight]]+Summary3[[#This Row],[stuctural_risk]]</f>
        <v>0.8</v>
      </c>
      <c r="E35">
        <f>_xlfn.XLOOKUP(Summary3[[#This Row],[loan_id]],[1]!Risk2[loan_id],[1]!Risk2[total_risk])</f>
        <v>0.8</v>
      </c>
      <c r="F35" s="2">
        <f>Summary3[[#This Row],[total_risk_M03]]-Summary3[[#This Row],[total_risk_M02]]</f>
        <v>0</v>
      </c>
      <c r="G35" t="str">
        <f>_xlfn.XLOOKUP(Summary3[[#This Row],[loan_id]],[1]!Loans[loan_id],[1]!Loans[loan_size_band])</f>
        <v>Large</v>
      </c>
    </row>
    <row r="36" spans="1:7" x14ac:dyDescent="0.25">
      <c r="A36" t="s">
        <v>269</v>
      </c>
      <c r="B36">
        <f>IF([1]!Repayment3[[#This Row],[payment_status]]="Full",0,IF([1]!Repayment3[[#This Row],[payment_status]]="Partial",0.5,1))</f>
        <v>0</v>
      </c>
      <c r="C36">
        <f>_xlfn.XLOOKUP(Summary3[[#This Row],[loan_id]],[1]!Loans[loan_id],[1]!Loans[structural_risk])</f>
        <v>0.8</v>
      </c>
      <c r="D36">
        <f>Summary3[[#This Row],[risk_weight]]+Summary3[[#This Row],[stuctural_risk]]</f>
        <v>0.8</v>
      </c>
      <c r="E36">
        <f>_xlfn.XLOOKUP(Summary3[[#This Row],[loan_id]],[1]!Risk2[loan_id],[1]!Risk2[total_risk])</f>
        <v>0.8</v>
      </c>
      <c r="F36" s="2">
        <f>Summary3[[#This Row],[total_risk_M03]]-Summary3[[#This Row],[total_risk_M02]]</f>
        <v>0</v>
      </c>
      <c r="G36" t="str">
        <f>_xlfn.XLOOKUP(Summary3[[#This Row],[loan_id]],[1]!Loans[loan_id],[1]!Loans[loan_size_band])</f>
        <v>Large</v>
      </c>
    </row>
    <row r="37" spans="1:7" x14ac:dyDescent="0.25">
      <c r="A37" t="s">
        <v>12</v>
      </c>
      <c r="B37">
        <f>IF([1]!Repayment3[[#This Row],[payment_status]]="Full",0,IF([1]!Repayment3[[#This Row],[payment_status]]="Partial",0.5,1))</f>
        <v>0</v>
      </c>
      <c r="C37">
        <f>_xlfn.XLOOKUP(Summary3[[#This Row],[loan_id]],[1]!Loans[loan_id],[1]!Loans[structural_risk])</f>
        <v>0.8</v>
      </c>
      <c r="D37">
        <f>Summary3[[#This Row],[risk_weight]]+Summary3[[#This Row],[stuctural_risk]]</f>
        <v>0.8</v>
      </c>
      <c r="E37">
        <f>_xlfn.XLOOKUP(Summary3[[#This Row],[loan_id]],[1]!Risk2[loan_id],[1]!Risk2[total_risk])</f>
        <v>0.8</v>
      </c>
      <c r="F37" s="2">
        <f>Summary3[[#This Row],[total_risk_M03]]-Summary3[[#This Row],[total_risk_M02]]</f>
        <v>0</v>
      </c>
      <c r="G37" t="str">
        <f>_xlfn.XLOOKUP(Summary3[[#This Row],[loan_id]],[1]!Loans[loan_id],[1]!Loans[loan_size_band])</f>
        <v>Large</v>
      </c>
    </row>
    <row r="38" spans="1:7" x14ac:dyDescent="0.25">
      <c r="A38" t="s">
        <v>14</v>
      </c>
      <c r="B38">
        <f>IF([1]!Repayment3[[#This Row],[payment_status]]="Full",0,IF([1]!Repayment3[[#This Row],[payment_status]]="Partial",0.5,1))</f>
        <v>0</v>
      </c>
      <c r="C38">
        <f>_xlfn.XLOOKUP(Summary3[[#This Row],[loan_id]],[1]!Loans[loan_id],[1]!Loans[structural_risk])</f>
        <v>0.8</v>
      </c>
      <c r="D38">
        <f>Summary3[[#This Row],[risk_weight]]+Summary3[[#This Row],[stuctural_risk]]</f>
        <v>0.8</v>
      </c>
      <c r="E38">
        <f>_xlfn.XLOOKUP(Summary3[[#This Row],[loan_id]],[1]!Risk2[loan_id],[1]!Risk2[total_risk])</f>
        <v>0.8</v>
      </c>
      <c r="F38" s="2">
        <f>Summary3[[#This Row],[total_risk_M03]]-Summary3[[#This Row],[total_risk_M02]]</f>
        <v>0</v>
      </c>
      <c r="G38" t="str">
        <f>_xlfn.XLOOKUP(Summary3[[#This Row],[loan_id]],[1]!Loans[loan_id],[1]!Loans[loan_size_band])</f>
        <v>Large</v>
      </c>
    </row>
    <row r="39" spans="1:7" x14ac:dyDescent="0.25">
      <c r="A39" t="s">
        <v>18</v>
      </c>
      <c r="B39">
        <f>IF([1]!Repayment3[[#This Row],[payment_status]]="Full",0,IF([1]!Repayment3[[#This Row],[payment_status]]="Partial",0.5,1))</f>
        <v>0</v>
      </c>
      <c r="C39">
        <f>_xlfn.XLOOKUP(Summary3[[#This Row],[loan_id]],[1]!Loans[loan_id],[1]!Loans[structural_risk])</f>
        <v>0.8</v>
      </c>
      <c r="D39">
        <f>Summary3[[#This Row],[risk_weight]]+Summary3[[#This Row],[stuctural_risk]]</f>
        <v>0.8</v>
      </c>
      <c r="E39">
        <f>_xlfn.XLOOKUP(Summary3[[#This Row],[loan_id]],[1]!Risk2[loan_id],[1]!Risk2[total_risk])</f>
        <v>0.8</v>
      </c>
      <c r="F39" s="2">
        <f>Summary3[[#This Row],[total_risk_M03]]-Summary3[[#This Row],[total_risk_M02]]</f>
        <v>0</v>
      </c>
      <c r="G39" t="str">
        <f>_xlfn.XLOOKUP(Summary3[[#This Row],[loan_id]],[1]!Loans[loan_id],[1]!Loans[loan_size_band])</f>
        <v>Large</v>
      </c>
    </row>
    <row r="40" spans="1:7" x14ac:dyDescent="0.25">
      <c r="A40" t="s">
        <v>20</v>
      </c>
      <c r="B40">
        <f>IF([1]!Repayment3[[#This Row],[payment_status]]="Full",0,IF([1]!Repayment3[[#This Row],[payment_status]]="Partial",0.5,1))</f>
        <v>0</v>
      </c>
      <c r="C40">
        <f>_xlfn.XLOOKUP(Summary3[[#This Row],[loan_id]],[1]!Loans[loan_id],[1]!Loans[structural_risk])</f>
        <v>0.8</v>
      </c>
      <c r="D40">
        <f>Summary3[[#This Row],[risk_weight]]+Summary3[[#This Row],[stuctural_risk]]</f>
        <v>0.8</v>
      </c>
      <c r="E40">
        <f>_xlfn.XLOOKUP(Summary3[[#This Row],[loan_id]],[1]!Risk2[loan_id],[1]!Risk2[total_risk])</f>
        <v>0.8</v>
      </c>
      <c r="F40" s="2">
        <f>Summary3[[#This Row],[total_risk_M03]]-Summary3[[#This Row],[total_risk_M02]]</f>
        <v>0</v>
      </c>
      <c r="G40" t="str">
        <f>_xlfn.XLOOKUP(Summary3[[#This Row],[loan_id]],[1]!Loans[loan_id],[1]!Loans[loan_size_band])</f>
        <v>Large</v>
      </c>
    </row>
    <row r="41" spans="1:7" x14ac:dyDescent="0.25">
      <c r="A41" t="s">
        <v>22</v>
      </c>
      <c r="B41">
        <f>IF([1]!Repayment3[[#This Row],[payment_status]]="Full",0,IF([1]!Repayment3[[#This Row],[payment_status]]="Partial",0.5,1))</f>
        <v>0</v>
      </c>
      <c r="C41">
        <f>_xlfn.XLOOKUP(Summary3[[#This Row],[loan_id]],[1]!Loans[loan_id],[1]!Loans[structural_risk])</f>
        <v>0.8</v>
      </c>
      <c r="D41">
        <f>Summary3[[#This Row],[risk_weight]]+Summary3[[#This Row],[stuctural_risk]]</f>
        <v>0.8</v>
      </c>
      <c r="E41">
        <f>_xlfn.XLOOKUP(Summary3[[#This Row],[loan_id]],[1]!Risk2[loan_id],[1]!Risk2[total_risk])</f>
        <v>0.8</v>
      </c>
      <c r="F41" s="2">
        <f>Summary3[[#This Row],[total_risk_M03]]-Summary3[[#This Row],[total_risk_M02]]</f>
        <v>0</v>
      </c>
      <c r="G41" t="str">
        <f>_xlfn.XLOOKUP(Summary3[[#This Row],[loan_id]],[1]!Loans[loan_id],[1]!Loans[loan_size_band])</f>
        <v>Large</v>
      </c>
    </row>
    <row r="42" spans="1:7" x14ac:dyDescent="0.25">
      <c r="A42" t="s">
        <v>24</v>
      </c>
      <c r="B42">
        <f>IF([1]!Repayment3[[#This Row],[payment_status]]="Full",0,IF([1]!Repayment3[[#This Row],[payment_status]]="Partial",0.5,1))</f>
        <v>0</v>
      </c>
      <c r="C42">
        <f>_xlfn.XLOOKUP(Summary3[[#This Row],[loan_id]],[1]!Loans[loan_id],[1]!Loans[structural_risk])</f>
        <v>0.8</v>
      </c>
      <c r="D42">
        <f>Summary3[[#This Row],[risk_weight]]+Summary3[[#This Row],[stuctural_risk]]</f>
        <v>0.8</v>
      </c>
      <c r="E42">
        <f>_xlfn.XLOOKUP(Summary3[[#This Row],[loan_id]],[1]!Risk2[loan_id],[1]!Risk2[total_risk])</f>
        <v>0.8</v>
      </c>
      <c r="F42" s="2">
        <f>Summary3[[#This Row],[total_risk_M03]]-Summary3[[#This Row],[total_risk_M02]]</f>
        <v>0</v>
      </c>
      <c r="G42" t="str">
        <f>_xlfn.XLOOKUP(Summary3[[#This Row],[loan_id]],[1]!Loans[loan_id],[1]!Loans[loan_size_band])</f>
        <v>Large</v>
      </c>
    </row>
    <row r="43" spans="1:7" x14ac:dyDescent="0.25">
      <c r="A43" t="s">
        <v>26</v>
      </c>
      <c r="B43">
        <f>IF([1]!Repayment3[[#This Row],[payment_status]]="Full",0,IF([1]!Repayment3[[#This Row],[payment_status]]="Partial",0.5,1))</f>
        <v>0</v>
      </c>
      <c r="C43">
        <f>_xlfn.XLOOKUP(Summary3[[#This Row],[loan_id]],[1]!Loans[loan_id],[1]!Loans[structural_risk])</f>
        <v>0.8</v>
      </c>
      <c r="D43">
        <f>Summary3[[#This Row],[risk_weight]]+Summary3[[#This Row],[stuctural_risk]]</f>
        <v>0.8</v>
      </c>
      <c r="E43">
        <f>_xlfn.XLOOKUP(Summary3[[#This Row],[loan_id]],[1]!Risk2[loan_id],[1]!Risk2[total_risk])</f>
        <v>0.8</v>
      </c>
      <c r="F43" s="2">
        <f>Summary3[[#This Row],[total_risk_M03]]-Summary3[[#This Row],[total_risk_M02]]</f>
        <v>0</v>
      </c>
      <c r="G43" t="str">
        <f>_xlfn.XLOOKUP(Summary3[[#This Row],[loan_id]],[1]!Loans[loan_id],[1]!Loans[loan_size_band])</f>
        <v>Large</v>
      </c>
    </row>
    <row r="44" spans="1:7" x14ac:dyDescent="0.25">
      <c r="A44" t="s">
        <v>28</v>
      </c>
      <c r="B44">
        <f>IF([1]!Repayment3[[#This Row],[payment_status]]="Full",0,IF([1]!Repayment3[[#This Row],[payment_status]]="Partial",0.5,1))</f>
        <v>0</v>
      </c>
      <c r="C44">
        <f>_xlfn.XLOOKUP(Summary3[[#This Row],[loan_id]],[1]!Loans[loan_id],[1]!Loans[structural_risk])</f>
        <v>0.8</v>
      </c>
      <c r="D44">
        <f>Summary3[[#This Row],[risk_weight]]+Summary3[[#This Row],[stuctural_risk]]</f>
        <v>0.8</v>
      </c>
      <c r="E44">
        <f>_xlfn.XLOOKUP(Summary3[[#This Row],[loan_id]],[1]!Risk2[loan_id],[1]!Risk2[total_risk])</f>
        <v>0.8</v>
      </c>
      <c r="F44" s="2">
        <f>Summary3[[#This Row],[total_risk_M03]]-Summary3[[#This Row],[total_risk_M02]]</f>
        <v>0</v>
      </c>
      <c r="G44" t="str">
        <f>_xlfn.XLOOKUP(Summary3[[#This Row],[loan_id]],[1]!Loans[loan_id],[1]!Loans[loan_size_band])</f>
        <v>Large</v>
      </c>
    </row>
    <row r="45" spans="1:7" x14ac:dyDescent="0.25">
      <c r="A45" t="s">
        <v>30</v>
      </c>
      <c r="B45">
        <f>IF([1]!Repayment3[[#This Row],[payment_status]]="Full",0,IF([1]!Repayment3[[#This Row],[payment_status]]="Partial",0.5,1))</f>
        <v>0</v>
      </c>
      <c r="C45">
        <f>_xlfn.XLOOKUP(Summary3[[#This Row],[loan_id]],[1]!Loans[loan_id],[1]!Loans[structural_risk])</f>
        <v>0.8</v>
      </c>
      <c r="D45">
        <f>Summary3[[#This Row],[risk_weight]]+Summary3[[#This Row],[stuctural_risk]]</f>
        <v>0.8</v>
      </c>
      <c r="E45">
        <f>_xlfn.XLOOKUP(Summary3[[#This Row],[loan_id]],[1]!Risk2[loan_id],[1]!Risk2[total_risk])</f>
        <v>0.8</v>
      </c>
      <c r="F45" s="2">
        <f>Summary3[[#This Row],[total_risk_M03]]-Summary3[[#This Row],[total_risk_M02]]</f>
        <v>0</v>
      </c>
      <c r="G45" t="str">
        <f>_xlfn.XLOOKUP(Summary3[[#This Row],[loan_id]],[1]!Loans[loan_id],[1]!Loans[loan_size_band])</f>
        <v>Large</v>
      </c>
    </row>
    <row r="46" spans="1:7" x14ac:dyDescent="0.25">
      <c r="A46" t="s">
        <v>32</v>
      </c>
      <c r="B46">
        <f>IF([1]!Repayment3[[#This Row],[payment_status]]="Full",0,IF([1]!Repayment3[[#This Row],[payment_status]]="Partial",0.5,1))</f>
        <v>0</v>
      </c>
      <c r="C46">
        <f>_xlfn.XLOOKUP(Summary3[[#This Row],[loan_id]],[1]!Loans[loan_id],[1]!Loans[structural_risk])</f>
        <v>0.8</v>
      </c>
      <c r="D46">
        <f>Summary3[[#This Row],[risk_weight]]+Summary3[[#This Row],[stuctural_risk]]</f>
        <v>0.8</v>
      </c>
      <c r="E46">
        <f>_xlfn.XLOOKUP(Summary3[[#This Row],[loan_id]],[1]!Risk2[loan_id],[1]!Risk2[total_risk])</f>
        <v>0.8</v>
      </c>
      <c r="F46" s="2">
        <f>Summary3[[#This Row],[total_risk_M03]]-Summary3[[#This Row],[total_risk_M02]]</f>
        <v>0</v>
      </c>
      <c r="G46" t="str">
        <f>_xlfn.XLOOKUP(Summary3[[#This Row],[loan_id]],[1]!Loans[loan_id],[1]!Loans[loan_size_band])</f>
        <v>Large</v>
      </c>
    </row>
    <row r="47" spans="1:7" x14ac:dyDescent="0.25">
      <c r="A47" t="s">
        <v>34</v>
      </c>
      <c r="B47">
        <f>IF([1]!Repayment3[[#This Row],[payment_status]]="Full",0,IF([1]!Repayment3[[#This Row],[payment_status]]="Partial",0.5,1))</f>
        <v>0</v>
      </c>
      <c r="C47">
        <f>_xlfn.XLOOKUP(Summary3[[#This Row],[loan_id]],[1]!Loans[loan_id],[1]!Loans[structural_risk])</f>
        <v>0.8</v>
      </c>
      <c r="D47">
        <f>Summary3[[#This Row],[risk_weight]]+Summary3[[#This Row],[stuctural_risk]]</f>
        <v>0.8</v>
      </c>
      <c r="E47">
        <f>_xlfn.XLOOKUP(Summary3[[#This Row],[loan_id]],[1]!Risk2[loan_id],[1]!Risk2[total_risk])</f>
        <v>0.8</v>
      </c>
      <c r="F47" s="2">
        <f>Summary3[[#This Row],[total_risk_M03]]-Summary3[[#This Row],[total_risk_M02]]</f>
        <v>0</v>
      </c>
      <c r="G47" t="str">
        <f>_xlfn.XLOOKUP(Summary3[[#This Row],[loan_id]],[1]!Loans[loan_id],[1]!Loans[loan_size_band])</f>
        <v>Large</v>
      </c>
    </row>
    <row r="48" spans="1:7" x14ac:dyDescent="0.25">
      <c r="A48" t="s">
        <v>90</v>
      </c>
      <c r="B48">
        <f>IF([1]!Repayment3[[#This Row],[payment_status]]="Full",0,IF([1]!Repayment3[[#This Row],[payment_status]]="Partial",0.5,1))</f>
        <v>0</v>
      </c>
      <c r="C48">
        <f>_xlfn.XLOOKUP(Summary3[[#This Row],[loan_id]],[1]!Loans[loan_id],[1]!Loans[structural_risk])</f>
        <v>0.8</v>
      </c>
      <c r="D48">
        <f>Summary3[[#This Row],[risk_weight]]+Summary3[[#This Row],[stuctural_risk]]</f>
        <v>0.8</v>
      </c>
      <c r="E48">
        <f>_xlfn.XLOOKUP(Summary3[[#This Row],[loan_id]],[1]!Risk2[loan_id],[1]!Risk2[total_risk])</f>
        <v>0.8</v>
      </c>
      <c r="F48" s="2">
        <f>Summary3[[#This Row],[total_risk_M03]]-Summary3[[#This Row],[total_risk_M02]]</f>
        <v>0</v>
      </c>
      <c r="G48" t="str">
        <f>_xlfn.XLOOKUP(Summary3[[#This Row],[loan_id]],[1]!Loans[loan_id],[1]!Loans[loan_size_band])</f>
        <v>Large</v>
      </c>
    </row>
    <row r="49" spans="1:7" x14ac:dyDescent="0.25">
      <c r="A49" t="s">
        <v>295</v>
      </c>
      <c r="B49">
        <f>IF([1]!Repayment3[[#This Row],[payment_status]]="Full",0,IF([1]!Repayment3[[#This Row],[payment_status]]="Partial",0.5,1))</f>
        <v>0</v>
      </c>
      <c r="C49">
        <f>_xlfn.XLOOKUP(Summary3[[#This Row],[loan_id]],[1]!Loans[loan_id],[1]!Loans[structural_risk])</f>
        <v>0.8</v>
      </c>
      <c r="D49">
        <f>Summary3[[#This Row],[risk_weight]]+Summary3[[#This Row],[stuctural_risk]]</f>
        <v>0.8</v>
      </c>
      <c r="E49">
        <f>_xlfn.XLOOKUP(Summary3[[#This Row],[loan_id]],[1]!Risk2[loan_id],[1]!Risk2[total_risk])</f>
        <v>1.3</v>
      </c>
      <c r="F49" s="2">
        <f>Summary3[[#This Row],[total_risk_M03]]-Summary3[[#This Row],[total_risk_M02]]</f>
        <v>-0.5</v>
      </c>
      <c r="G49" t="str">
        <f>_xlfn.XLOOKUP(Summary3[[#This Row],[loan_id]],[1]!Loans[loan_id],[1]!Loans[loan_size_band])</f>
        <v>Large</v>
      </c>
    </row>
    <row r="50" spans="1:7" x14ac:dyDescent="0.25">
      <c r="A50" t="s">
        <v>335</v>
      </c>
      <c r="B50">
        <f>IF([1]!Repayment3[[#This Row],[payment_status]]="Full",0,IF([1]!Repayment3[[#This Row],[payment_status]]="Partial",0.5,1))</f>
        <v>0</v>
      </c>
      <c r="C50">
        <f>_xlfn.XLOOKUP(Summary3[[#This Row],[loan_id]],[1]!Loans[loan_id],[1]!Loans[structural_risk])</f>
        <v>0.8</v>
      </c>
      <c r="D50">
        <f>Summary3[[#This Row],[risk_weight]]+Summary3[[#This Row],[stuctural_risk]]</f>
        <v>0.8</v>
      </c>
      <c r="E50">
        <f>_xlfn.XLOOKUP(Summary3[[#This Row],[loan_id]],[1]!Risk2[loan_id],[1]!Risk2[total_risk])</f>
        <v>1.3</v>
      </c>
      <c r="F50" s="2">
        <f>Summary3[[#This Row],[total_risk_M03]]-Summary3[[#This Row],[total_risk_M02]]</f>
        <v>-0.5</v>
      </c>
      <c r="G50" t="str">
        <f>_xlfn.XLOOKUP(Summary3[[#This Row],[loan_id]],[1]!Loans[loan_id],[1]!Loans[loan_size_band])</f>
        <v>Large</v>
      </c>
    </row>
    <row r="51" spans="1:7" x14ac:dyDescent="0.25">
      <c r="A51" t="s">
        <v>338</v>
      </c>
      <c r="B51">
        <f>IF([1]!Repayment3[[#This Row],[payment_status]]="Full",0,IF([1]!Repayment3[[#This Row],[payment_status]]="Partial",0.5,1))</f>
        <v>0</v>
      </c>
      <c r="C51">
        <f>_xlfn.XLOOKUP(Summary3[[#This Row],[loan_id]],[1]!Loans[loan_id],[1]!Loans[structural_risk])</f>
        <v>0.8</v>
      </c>
      <c r="D51">
        <f>Summary3[[#This Row],[risk_weight]]+Summary3[[#This Row],[stuctural_risk]]</f>
        <v>0.8</v>
      </c>
      <c r="E51">
        <f>_xlfn.XLOOKUP(Summary3[[#This Row],[loan_id]],[1]!Risk2[loan_id],[1]!Risk2[total_risk])</f>
        <v>1.3</v>
      </c>
      <c r="F51" s="2">
        <f>Summary3[[#This Row],[total_risk_M03]]-Summary3[[#This Row],[total_risk_M02]]</f>
        <v>-0.5</v>
      </c>
      <c r="G51" t="str">
        <f>_xlfn.XLOOKUP(Summary3[[#This Row],[loan_id]],[1]!Loans[loan_id],[1]!Loans[loan_size_band])</f>
        <v>Large</v>
      </c>
    </row>
    <row r="52" spans="1:7" x14ac:dyDescent="0.25">
      <c r="A52" t="s">
        <v>340</v>
      </c>
      <c r="B52">
        <f>IF([1]!Repayment3[[#This Row],[payment_status]]="Full",0,IF([1]!Repayment3[[#This Row],[payment_status]]="Partial",0.5,1))</f>
        <v>0</v>
      </c>
      <c r="C52">
        <f>_xlfn.XLOOKUP(Summary3[[#This Row],[loan_id]],[1]!Loans[loan_id],[1]!Loans[structural_risk])</f>
        <v>0.8</v>
      </c>
      <c r="D52">
        <f>Summary3[[#This Row],[risk_weight]]+Summary3[[#This Row],[stuctural_risk]]</f>
        <v>0.8</v>
      </c>
      <c r="E52">
        <f>_xlfn.XLOOKUP(Summary3[[#This Row],[loan_id]],[1]!Risk2[loan_id],[1]!Risk2[total_risk])</f>
        <v>1.3</v>
      </c>
      <c r="F52" s="2">
        <f>Summary3[[#This Row],[total_risk_M03]]-Summary3[[#This Row],[total_risk_M02]]</f>
        <v>-0.5</v>
      </c>
      <c r="G52" t="str">
        <f>_xlfn.XLOOKUP(Summary3[[#This Row],[loan_id]],[1]!Loans[loan_id],[1]!Loans[loan_size_band])</f>
        <v>Large</v>
      </c>
    </row>
    <row r="53" spans="1:7" x14ac:dyDescent="0.25">
      <c r="A53" t="s">
        <v>342</v>
      </c>
      <c r="B53">
        <f>IF([1]!Repayment3[[#This Row],[payment_status]]="Full",0,IF([1]!Repayment3[[#This Row],[payment_status]]="Partial",0.5,1))</f>
        <v>0</v>
      </c>
      <c r="C53">
        <f>_xlfn.XLOOKUP(Summary3[[#This Row],[loan_id]],[1]!Loans[loan_id],[1]!Loans[structural_risk])</f>
        <v>0.8</v>
      </c>
      <c r="D53">
        <f>Summary3[[#This Row],[risk_weight]]+Summary3[[#This Row],[stuctural_risk]]</f>
        <v>0.8</v>
      </c>
      <c r="E53">
        <f>_xlfn.XLOOKUP(Summary3[[#This Row],[loan_id]],[1]!Risk2[loan_id],[1]!Risk2[total_risk])</f>
        <v>1.3</v>
      </c>
      <c r="F53" s="2">
        <f>Summary3[[#This Row],[total_risk_M03]]-Summary3[[#This Row],[total_risk_M02]]</f>
        <v>-0.5</v>
      </c>
      <c r="G53" t="str">
        <f>_xlfn.XLOOKUP(Summary3[[#This Row],[loan_id]],[1]!Loans[loan_id],[1]!Loans[loan_size_band])</f>
        <v>Large</v>
      </c>
    </row>
    <row r="54" spans="1:7" x14ac:dyDescent="0.25">
      <c r="A54" t="s">
        <v>344</v>
      </c>
      <c r="B54">
        <f>IF([1]!Repayment3[[#This Row],[payment_status]]="Full",0,IF([1]!Repayment3[[#This Row],[payment_status]]="Partial",0.5,1))</f>
        <v>0</v>
      </c>
      <c r="C54">
        <f>_xlfn.XLOOKUP(Summary3[[#This Row],[loan_id]],[1]!Loans[loan_id],[1]!Loans[structural_risk])</f>
        <v>0.8</v>
      </c>
      <c r="D54">
        <f>Summary3[[#This Row],[risk_weight]]+Summary3[[#This Row],[stuctural_risk]]</f>
        <v>0.8</v>
      </c>
      <c r="E54">
        <f>_xlfn.XLOOKUP(Summary3[[#This Row],[loan_id]],[1]!Risk2[loan_id],[1]!Risk2[total_risk])</f>
        <v>1.3</v>
      </c>
      <c r="F54" s="2">
        <f>Summary3[[#This Row],[total_risk_M03]]-Summary3[[#This Row],[total_risk_M02]]</f>
        <v>-0.5</v>
      </c>
      <c r="G54" t="str">
        <f>_xlfn.XLOOKUP(Summary3[[#This Row],[loan_id]],[1]!Loans[loan_id],[1]!Loans[loan_size_band])</f>
        <v>Large</v>
      </c>
    </row>
    <row r="55" spans="1:7" x14ac:dyDescent="0.25">
      <c r="A55" t="s">
        <v>346</v>
      </c>
      <c r="B55">
        <f>IF([1]!Repayment3[[#This Row],[payment_status]]="Full",0,IF([1]!Repayment3[[#This Row],[payment_status]]="Partial",0.5,1))</f>
        <v>0</v>
      </c>
      <c r="C55">
        <f>_xlfn.XLOOKUP(Summary3[[#This Row],[loan_id]],[1]!Loans[loan_id],[1]!Loans[structural_risk])</f>
        <v>0.8</v>
      </c>
      <c r="D55">
        <f>Summary3[[#This Row],[risk_weight]]+Summary3[[#This Row],[stuctural_risk]]</f>
        <v>0.8</v>
      </c>
      <c r="E55">
        <f>_xlfn.XLOOKUP(Summary3[[#This Row],[loan_id]],[1]!Risk2[loan_id],[1]!Risk2[total_risk])</f>
        <v>1.3</v>
      </c>
      <c r="F55" s="2">
        <f>Summary3[[#This Row],[total_risk_M03]]-Summary3[[#This Row],[total_risk_M02]]</f>
        <v>-0.5</v>
      </c>
      <c r="G55" t="str">
        <f>_xlfn.XLOOKUP(Summary3[[#This Row],[loan_id]],[1]!Loans[loan_id],[1]!Loans[loan_size_band])</f>
        <v>Large</v>
      </c>
    </row>
    <row r="56" spans="1:7" x14ac:dyDescent="0.25">
      <c r="A56" t="s">
        <v>348</v>
      </c>
      <c r="B56">
        <f>IF([1]!Repayment3[[#This Row],[payment_status]]="Full",0,IF([1]!Repayment3[[#This Row],[payment_status]]="Partial",0.5,1))</f>
        <v>0</v>
      </c>
      <c r="C56">
        <f>_xlfn.XLOOKUP(Summary3[[#This Row],[loan_id]],[1]!Loans[loan_id],[1]!Loans[structural_risk])</f>
        <v>0.8</v>
      </c>
      <c r="D56">
        <f>Summary3[[#This Row],[risk_weight]]+Summary3[[#This Row],[stuctural_risk]]</f>
        <v>0.8</v>
      </c>
      <c r="E56">
        <f>_xlfn.XLOOKUP(Summary3[[#This Row],[loan_id]],[1]!Risk2[loan_id],[1]!Risk2[total_risk])</f>
        <v>1.3</v>
      </c>
      <c r="F56" s="2">
        <f>Summary3[[#This Row],[total_risk_M03]]-Summary3[[#This Row],[total_risk_M02]]</f>
        <v>-0.5</v>
      </c>
      <c r="G56" t="str">
        <f>_xlfn.XLOOKUP(Summary3[[#This Row],[loan_id]],[1]!Loans[loan_id],[1]!Loans[loan_size_band])</f>
        <v>Large</v>
      </c>
    </row>
    <row r="57" spans="1:7" x14ac:dyDescent="0.25">
      <c r="A57" t="s">
        <v>350</v>
      </c>
      <c r="B57">
        <f>IF([1]!Repayment3[[#This Row],[payment_status]]="Full",0,IF([1]!Repayment3[[#This Row],[payment_status]]="Partial",0.5,1))</f>
        <v>0</v>
      </c>
      <c r="C57">
        <f>_xlfn.XLOOKUP(Summary3[[#This Row],[loan_id]],[1]!Loans[loan_id],[1]!Loans[structural_risk])</f>
        <v>0.8</v>
      </c>
      <c r="D57">
        <f>Summary3[[#This Row],[risk_weight]]+Summary3[[#This Row],[stuctural_risk]]</f>
        <v>0.8</v>
      </c>
      <c r="E57">
        <f>_xlfn.XLOOKUP(Summary3[[#This Row],[loan_id]],[1]!Risk2[loan_id],[1]!Risk2[total_risk])</f>
        <v>1.3</v>
      </c>
      <c r="F57" s="2">
        <f>Summary3[[#This Row],[total_risk_M03]]-Summary3[[#This Row],[total_risk_M02]]</f>
        <v>-0.5</v>
      </c>
      <c r="G57" t="str">
        <f>_xlfn.XLOOKUP(Summary3[[#This Row],[loan_id]],[1]!Loans[loan_id],[1]!Loans[loan_size_band])</f>
        <v>Large</v>
      </c>
    </row>
    <row r="58" spans="1:7" x14ac:dyDescent="0.25">
      <c r="A58" t="s">
        <v>352</v>
      </c>
      <c r="B58">
        <f>IF([1]!Repayment3[[#This Row],[payment_status]]="Full",0,IF([1]!Repayment3[[#This Row],[payment_status]]="Partial",0.5,1))</f>
        <v>0</v>
      </c>
      <c r="C58">
        <f>_xlfn.XLOOKUP(Summary3[[#This Row],[loan_id]],[1]!Loans[loan_id],[1]!Loans[structural_risk])</f>
        <v>0.8</v>
      </c>
      <c r="D58">
        <f>Summary3[[#This Row],[risk_weight]]+Summary3[[#This Row],[stuctural_risk]]</f>
        <v>0.8</v>
      </c>
      <c r="E58">
        <f>_xlfn.XLOOKUP(Summary3[[#This Row],[loan_id]],[1]!Risk2[loan_id],[1]!Risk2[total_risk])</f>
        <v>1.3</v>
      </c>
      <c r="F58" s="2">
        <f>Summary3[[#This Row],[total_risk_M03]]-Summary3[[#This Row],[total_risk_M02]]</f>
        <v>-0.5</v>
      </c>
      <c r="G58" t="str">
        <f>_xlfn.XLOOKUP(Summary3[[#This Row],[loan_id]],[1]!Loans[loan_id],[1]!Loans[loan_size_band])</f>
        <v>Large</v>
      </c>
    </row>
    <row r="59" spans="1:7" x14ac:dyDescent="0.25">
      <c r="A59" t="s">
        <v>354</v>
      </c>
      <c r="B59">
        <f>IF([1]!Repayment3[[#This Row],[payment_status]]="Full",0,IF([1]!Repayment3[[#This Row],[payment_status]]="Partial",0.5,1))</f>
        <v>0</v>
      </c>
      <c r="C59">
        <f>_xlfn.XLOOKUP(Summary3[[#This Row],[loan_id]],[1]!Loans[loan_id],[1]!Loans[structural_risk])</f>
        <v>0.8</v>
      </c>
      <c r="D59">
        <f>Summary3[[#This Row],[risk_weight]]+Summary3[[#This Row],[stuctural_risk]]</f>
        <v>0.8</v>
      </c>
      <c r="E59">
        <f>_xlfn.XLOOKUP(Summary3[[#This Row],[loan_id]],[1]!Risk2[loan_id],[1]!Risk2[total_risk])</f>
        <v>1.3</v>
      </c>
      <c r="F59" s="2">
        <f>Summary3[[#This Row],[total_risk_M03]]-Summary3[[#This Row],[total_risk_M02]]</f>
        <v>-0.5</v>
      </c>
      <c r="G59" t="str">
        <f>_xlfn.XLOOKUP(Summary3[[#This Row],[loan_id]],[1]!Loans[loan_id],[1]!Loans[loan_size_band])</f>
        <v>Large</v>
      </c>
    </row>
    <row r="60" spans="1:7" x14ac:dyDescent="0.25">
      <c r="A60" t="s">
        <v>356</v>
      </c>
      <c r="B60">
        <f>IF([1]!Repayment3[[#This Row],[payment_status]]="Full",0,IF([1]!Repayment3[[#This Row],[payment_status]]="Partial",0.5,1))</f>
        <v>0</v>
      </c>
      <c r="C60">
        <f>_xlfn.XLOOKUP(Summary3[[#This Row],[loan_id]],[1]!Loans[loan_id],[1]!Loans[structural_risk])</f>
        <v>0.8</v>
      </c>
      <c r="D60">
        <f>Summary3[[#This Row],[risk_weight]]+Summary3[[#This Row],[stuctural_risk]]</f>
        <v>0.8</v>
      </c>
      <c r="E60">
        <f>_xlfn.XLOOKUP(Summary3[[#This Row],[loan_id]],[1]!Risk2[loan_id],[1]!Risk2[total_risk])</f>
        <v>1.3</v>
      </c>
      <c r="F60" s="2">
        <f>Summary3[[#This Row],[total_risk_M03]]-Summary3[[#This Row],[total_risk_M02]]</f>
        <v>-0.5</v>
      </c>
      <c r="G60" t="str">
        <f>_xlfn.XLOOKUP(Summary3[[#This Row],[loan_id]],[1]!Loans[loan_id],[1]!Loans[loan_size_band])</f>
        <v>Large</v>
      </c>
    </row>
    <row r="61" spans="1:7" x14ac:dyDescent="0.25">
      <c r="A61" t="s">
        <v>358</v>
      </c>
      <c r="B61">
        <f>IF([1]!Repayment3[[#This Row],[payment_status]]="Full",0,IF([1]!Repayment3[[#This Row],[payment_status]]="Partial",0.5,1))</f>
        <v>0</v>
      </c>
      <c r="C61">
        <f>_xlfn.XLOOKUP(Summary3[[#This Row],[loan_id]],[1]!Loans[loan_id],[1]!Loans[structural_risk])</f>
        <v>0.8</v>
      </c>
      <c r="D61">
        <f>Summary3[[#This Row],[risk_weight]]+Summary3[[#This Row],[stuctural_risk]]</f>
        <v>0.8</v>
      </c>
      <c r="E61">
        <f>_xlfn.XLOOKUP(Summary3[[#This Row],[loan_id]],[1]!Risk2[loan_id],[1]!Risk2[total_risk])</f>
        <v>1.3</v>
      </c>
      <c r="F61" s="2">
        <f>Summary3[[#This Row],[total_risk_M03]]-Summary3[[#This Row],[total_risk_M02]]</f>
        <v>-0.5</v>
      </c>
      <c r="G61" t="str">
        <f>_xlfn.XLOOKUP(Summary3[[#This Row],[loan_id]],[1]!Loans[loan_id],[1]!Loans[loan_size_band])</f>
        <v>Large</v>
      </c>
    </row>
    <row r="62" spans="1:7" x14ac:dyDescent="0.25">
      <c r="A62" t="s">
        <v>360</v>
      </c>
      <c r="B62">
        <f>IF([1]!Repayment3[[#This Row],[payment_status]]="Full",0,IF([1]!Repayment3[[#This Row],[payment_status]]="Partial",0.5,1))</f>
        <v>0</v>
      </c>
      <c r="C62">
        <f>_xlfn.XLOOKUP(Summary3[[#This Row],[loan_id]],[1]!Loans[loan_id],[1]!Loans[structural_risk])</f>
        <v>0.8</v>
      </c>
      <c r="D62">
        <f>Summary3[[#This Row],[risk_weight]]+Summary3[[#This Row],[stuctural_risk]]</f>
        <v>0.8</v>
      </c>
      <c r="E62">
        <f>_xlfn.XLOOKUP(Summary3[[#This Row],[loan_id]],[1]!Risk2[loan_id],[1]!Risk2[total_risk])</f>
        <v>1.3</v>
      </c>
      <c r="F62" s="2">
        <f>Summary3[[#This Row],[total_risk_M03]]-Summary3[[#This Row],[total_risk_M02]]</f>
        <v>-0.5</v>
      </c>
      <c r="G62" t="str">
        <f>_xlfn.XLOOKUP(Summary3[[#This Row],[loan_id]],[1]!Loans[loan_id],[1]!Loans[loan_size_band])</f>
        <v>Large</v>
      </c>
    </row>
    <row r="63" spans="1:7" x14ac:dyDescent="0.25">
      <c r="A63" t="s">
        <v>362</v>
      </c>
      <c r="B63">
        <f>IF([1]!Repayment3[[#This Row],[payment_status]]="Full",0,IF([1]!Repayment3[[#This Row],[payment_status]]="Partial",0.5,1))</f>
        <v>0</v>
      </c>
      <c r="C63">
        <f>_xlfn.XLOOKUP(Summary3[[#This Row],[loan_id]],[1]!Loans[loan_id],[1]!Loans[structural_risk])</f>
        <v>0.8</v>
      </c>
      <c r="D63">
        <f>Summary3[[#This Row],[risk_weight]]+Summary3[[#This Row],[stuctural_risk]]</f>
        <v>0.8</v>
      </c>
      <c r="E63">
        <f>_xlfn.XLOOKUP(Summary3[[#This Row],[loan_id]],[1]!Risk2[loan_id],[1]!Risk2[total_risk])</f>
        <v>1.3</v>
      </c>
      <c r="F63" s="2">
        <f>Summary3[[#This Row],[total_risk_M03]]-Summary3[[#This Row],[total_risk_M02]]</f>
        <v>-0.5</v>
      </c>
      <c r="G63" t="str">
        <f>_xlfn.XLOOKUP(Summary3[[#This Row],[loan_id]],[1]!Loans[loan_id],[1]!Loans[loan_size_band])</f>
        <v>Large</v>
      </c>
    </row>
    <row r="64" spans="1:7" x14ac:dyDescent="0.25">
      <c r="A64" t="s">
        <v>364</v>
      </c>
      <c r="B64">
        <f>IF([1]!Repayment3[[#This Row],[payment_status]]="Full",0,IF([1]!Repayment3[[#This Row],[payment_status]]="Partial",0.5,1))</f>
        <v>0</v>
      </c>
      <c r="C64">
        <f>_xlfn.XLOOKUP(Summary3[[#This Row],[loan_id]],[1]!Loans[loan_id],[1]!Loans[structural_risk])</f>
        <v>0.8</v>
      </c>
      <c r="D64">
        <f>Summary3[[#This Row],[risk_weight]]+Summary3[[#This Row],[stuctural_risk]]</f>
        <v>0.8</v>
      </c>
      <c r="E64">
        <f>_xlfn.XLOOKUP(Summary3[[#This Row],[loan_id]],[1]!Risk2[loan_id],[1]!Risk2[total_risk])</f>
        <v>1.3</v>
      </c>
      <c r="F64" s="2">
        <f>Summary3[[#This Row],[total_risk_M03]]-Summary3[[#This Row],[total_risk_M02]]</f>
        <v>-0.5</v>
      </c>
      <c r="G64" t="str">
        <f>_xlfn.XLOOKUP(Summary3[[#This Row],[loan_id]],[1]!Loans[loan_id],[1]!Loans[loan_size_band])</f>
        <v>Large</v>
      </c>
    </row>
    <row r="65" spans="1:7" x14ac:dyDescent="0.25">
      <c r="A65" t="s">
        <v>366</v>
      </c>
      <c r="B65">
        <f>IF([1]!Repayment3[[#This Row],[payment_status]]="Full",0,IF([1]!Repayment3[[#This Row],[payment_status]]="Partial",0.5,1))</f>
        <v>0</v>
      </c>
      <c r="C65">
        <f>_xlfn.XLOOKUP(Summary3[[#This Row],[loan_id]],[1]!Loans[loan_id],[1]!Loans[structural_risk])</f>
        <v>0.8</v>
      </c>
      <c r="D65">
        <f>Summary3[[#This Row],[risk_weight]]+Summary3[[#This Row],[stuctural_risk]]</f>
        <v>0.8</v>
      </c>
      <c r="E65">
        <f>_xlfn.XLOOKUP(Summary3[[#This Row],[loan_id]],[1]!Risk2[loan_id],[1]!Risk2[total_risk])</f>
        <v>1.3</v>
      </c>
      <c r="F65" s="2">
        <f>Summary3[[#This Row],[total_risk_M03]]-Summary3[[#This Row],[total_risk_M02]]</f>
        <v>-0.5</v>
      </c>
      <c r="G65" t="str">
        <f>_xlfn.XLOOKUP(Summary3[[#This Row],[loan_id]],[1]!Loans[loan_id],[1]!Loans[loan_size_band])</f>
        <v>Large</v>
      </c>
    </row>
    <row r="66" spans="1:7" x14ac:dyDescent="0.25">
      <c r="A66" t="s">
        <v>368</v>
      </c>
      <c r="B66">
        <f>IF([1]!Repayment3[[#This Row],[payment_status]]="Full",0,IF([1]!Repayment3[[#This Row],[payment_status]]="Partial",0.5,1))</f>
        <v>0</v>
      </c>
      <c r="C66">
        <f>_xlfn.XLOOKUP(Summary3[[#This Row],[loan_id]],[1]!Loans[loan_id],[1]!Loans[structural_risk])</f>
        <v>0.8</v>
      </c>
      <c r="D66">
        <f>Summary3[[#This Row],[risk_weight]]+Summary3[[#This Row],[stuctural_risk]]</f>
        <v>0.8</v>
      </c>
      <c r="E66">
        <f>_xlfn.XLOOKUP(Summary3[[#This Row],[loan_id]],[1]!Risk2[loan_id],[1]!Risk2[total_risk])</f>
        <v>1.3</v>
      </c>
      <c r="F66" s="2">
        <f>Summary3[[#This Row],[total_risk_M03]]-Summary3[[#This Row],[total_risk_M02]]</f>
        <v>-0.5</v>
      </c>
      <c r="G66" t="str">
        <f>_xlfn.XLOOKUP(Summary3[[#This Row],[loan_id]],[1]!Loans[loan_id],[1]!Loans[loan_size_band])</f>
        <v>Large</v>
      </c>
    </row>
    <row r="67" spans="1:7" x14ac:dyDescent="0.25">
      <c r="A67" t="s">
        <v>370</v>
      </c>
      <c r="B67">
        <f>IF([1]!Repayment3[[#This Row],[payment_status]]="Full",0,IF([1]!Repayment3[[#This Row],[payment_status]]="Partial",0.5,1))</f>
        <v>0</v>
      </c>
      <c r="C67">
        <f>_xlfn.XLOOKUP(Summary3[[#This Row],[loan_id]],[1]!Loans[loan_id],[1]!Loans[structural_risk])</f>
        <v>0.8</v>
      </c>
      <c r="D67">
        <f>Summary3[[#This Row],[risk_weight]]+Summary3[[#This Row],[stuctural_risk]]</f>
        <v>0.8</v>
      </c>
      <c r="E67">
        <f>_xlfn.XLOOKUP(Summary3[[#This Row],[loan_id]],[1]!Risk2[loan_id],[1]!Risk2[total_risk])</f>
        <v>1.3</v>
      </c>
      <c r="F67" s="2">
        <f>Summary3[[#This Row],[total_risk_M03]]-Summary3[[#This Row],[total_risk_M02]]</f>
        <v>-0.5</v>
      </c>
      <c r="G67" t="str">
        <f>_xlfn.XLOOKUP(Summary3[[#This Row],[loan_id]],[1]!Loans[loan_id],[1]!Loans[loan_size_band])</f>
        <v>Large</v>
      </c>
    </row>
    <row r="68" spans="1:7" x14ac:dyDescent="0.25">
      <c r="A68" t="s">
        <v>325</v>
      </c>
      <c r="B68">
        <f>IF([1]!Repayment3[[#This Row],[payment_status]]="Full",0,IF([1]!Repayment3[[#This Row],[payment_status]]="Partial",0.5,1))</f>
        <v>0</v>
      </c>
      <c r="C68">
        <f>_xlfn.XLOOKUP(Summary3[[#This Row],[loan_id]],[1]!Loans[loan_id],[1]!Loans[structural_risk])</f>
        <v>0.5</v>
      </c>
      <c r="D68">
        <f>Summary3[[#This Row],[risk_weight]]+Summary3[[#This Row],[stuctural_risk]]</f>
        <v>0.5</v>
      </c>
      <c r="E68">
        <f>_xlfn.XLOOKUP(Summary3[[#This Row],[loan_id]],[1]!Risk2[loan_id],[1]!Risk2[total_risk])</f>
        <v>1</v>
      </c>
      <c r="F68" s="2">
        <f>Summary3[[#This Row],[total_risk_M03]]-Summary3[[#This Row],[total_risk_M02]]</f>
        <v>-0.5</v>
      </c>
      <c r="G68" t="str">
        <f>_xlfn.XLOOKUP(Summary3[[#This Row],[loan_id]],[1]!Loans[loan_id],[1]!Loans[loan_size_band])</f>
        <v>Medium</v>
      </c>
    </row>
    <row r="69" spans="1:7" x14ac:dyDescent="0.25">
      <c r="A69" t="s">
        <v>331</v>
      </c>
      <c r="B69">
        <f>IF([1]!Repayment3[[#This Row],[payment_status]]="Full",0,IF([1]!Repayment3[[#This Row],[payment_status]]="Partial",0.5,1))</f>
        <v>0</v>
      </c>
      <c r="C69">
        <f>_xlfn.XLOOKUP(Summary3[[#This Row],[loan_id]],[1]!Loans[loan_id],[1]!Loans[structural_risk])</f>
        <v>0.5</v>
      </c>
      <c r="D69">
        <f>Summary3[[#This Row],[risk_weight]]+Summary3[[#This Row],[stuctural_risk]]</f>
        <v>0.5</v>
      </c>
      <c r="E69">
        <f>_xlfn.XLOOKUP(Summary3[[#This Row],[loan_id]],[1]!Risk2[loan_id],[1]!Risk2[total_risk])</f>
        <v>1</v>
      </c>
      <c r="F69" s="2">
        <f>Summary3[[#This Row],[total_risk_M03]]-Summary3[[#This Row],[total_risk_M02]]</f>
        <v>-0.5</v>
      </c>
      <c r="G69" t="str">
        <f>_xlfn.XLOOKUP(Summary3[[#This Row],[loan_id]],[1]!Loans[loan_id],[1]!Loans[loan_size_band])</f>
        <v>Medium</v>
      </c>
    </row>
    <row r="70" spans="1:7" x14ac:dyDescent="0.25">
      <c r="A70" t="s">
        <v>92</v>
      </c>
      <c r="B70">
        <f>IF([1]!Repayment3[[#This Row],[payment_status]]="Full",0,IF([1]!Repayment3[[#This Row],[payment_status]]="Partial",0.5,1))</f>
        <v>0</v>
      </c>
      <c r="C70">
        <f>_xlfn.XLOOKUP(Summary3[[#This Row],[loan_id]],[1]!Loans[loan_id],[1]!Loans[structural_risk])</f>
        <v>0.8</v>
      </c>
      <c r="D70">
        <f>Summary3[[#This Row],[risk_weight]]+Summary3[[#This Row],[stuctural_risk]]</f>
        <v>0.8</v>
      </c>
      <c r="E70">
        <f>_xlfn.XLOOKUP(Summary3[[#This Row],[loan_id]],[1]!Risk2[loan_id],[1]!Risk2[total_risk])</f>
        <v>0.8</v>
      </c>
      <c r="F70" s="2">
        <f>Summary3[[#This Row],[total_risk_M03]]-Summary3[[#This Row],[total_risk_M02]]</f>
        <v>0</v>
      </c>
      <c r="G70" t="str">
        <f>_xlfn.XLOOKUP(Summary3[[#This Row],[loan_id]],[1]!Loans[loan_id],[1]!Loans[loan_size_band])</f>
        <v>Large</v>
      </c>
    </row>
    <row r="71" spans="1:7" x14ac:dyDescent="0.25">
      <c r="A71" t="s">
        <v>94</v>
      </c>
      <c r="B71">
        <f>IF([1]!Repayment3[[#This Row],[payment_status]]="Full",0,IF([1]!Repayment3[[#This Row],[payment_status]]="Partial",0.5,1))</f>
        <v>0</v>
      </c>
      <c r="C71">
        <f>_xlfn.XLOOKUP(Summary3[[#This Row],[loan_id]],[1]!Loans[loan_id],[1]!Loans[structural_risk])</f>
        <v>0.8</v>
      </c>
      <c r="D71">
        <f>Summary3[[#This Row],[risk_weight]]+Summary3[[#This Row],[stuctural_risk]]</f>
        <v>0.8</v>
      </c>
      <c r="E71">
        <f>_xlfn.XLOOKUP(Summary3[[#This Row],[loan_id]],[1]!Risk2[loan_id],[1]!Risk2[total_risk])</f>
        <v>0.8</v>
      </c>
      <c r="F71" s="2">
        <f>Summary3[[#This Row],[total_risk_M03]]-Summary3[[#This Row],[total_risk_M02]]</f>
        <v>0</v>
      </c>
      <c r="G71" t="str">
        <f>_xlfn.XLOOKUP(Summary3[[#This Row],[loan_id]],[1]!Loans[loan_id],[1]!Loans[loan_size_band])</f>
        <v>Large</v>
      </c>
    </row>
    <row r="72" spans="1:7" x14ac:dyDescent="0.25">
      <c r="A72" t="s">
        <v>96</v>
      </c>
      <c r="B72">
        <f>IF([1]!Repayment3[[#This Row],[payment_status]]="Full",0,IF([1]!Repayment3[[#This Row],[payment_status]]="Partial",0.5,1))</f>
        <v>0</v>
      </c>
      <c r="C72">
        <f>_xlfn.XLOOKUP(Summary3[[#This Row],[loan_id]],[1]!Loans[loan_id],[1]!Loans[structural_risk])</f>
        <v>0.8</v>
      </c>
      <c r="D72">
        <f>Summary3[[#This Row],[risk_weight]]+Summary3[[#This Row],[stuctural_risk]]</f>
        <v>0.8</v>
      </c>
      <c r="E72">
        <f>_xlfn.XLOOKUP(Summary3[[#This Row],[loan_id]],[1]!Risk2[loan_id],[1]!Risk2[total_risk])</f>
        <v>0.8</v>
      </c>
      <c r="F72" s="2">
        <f>Summary3[[#This Row],[total_risk_M03]]-Summary3[[#This Row],[total_risk_M02]]</f>
        <v>0</v>
      </c>
      <c r="G72" t="str">
        <f>_xlfn.XLOOKUP(Summary3[[#This Row],[loan_id]],[1]!Loans[loan_id],[1]!Loans[loan_size_band])</f>
        <v>Large</v>
      </c>
    </row>
    <row r="73" spans="1:7" x14ac:dyDescent="0.25">
      <c r="A73" t="s">
        <v>98</v>
      </c>
      <c r="B73">
        <f>IF([1]!Repayment3[[#This Row],[payment_status]]="Full",0,IF([1]!Repayment3[[#This Row],[payment_status]]="Partial",0.5,1))</f>
        <v>0</v>
      </c>
      <c r="C73">
        <f>_xlfn.XLOOKUP(Summary3[[#This Row],[loan_id]],[1]!Loans[loan_id],[1]!Loans[structural_risk])</f>
        <v>0.8</v>
      </c>
      <c r="D73">
        <f>Summary3[[#This Row],[risk_weight]]+Summary3[[#This Row],[stuctural_risk]]</f>
        <v>0.8</v>
      </c>
      <c r="E73">
        <f>_xlfn.XLOOKUP(Summary3[[#This Row],[loan_id]],[1]!Risk2[loan_id],[1]!Risk2[total_risk])</f>
        <v>0.8</v>
      </c>
      <c r="F73" s="2">
        <f>Summary3[[#This Row],[total_risk_M03]]-Summary3[[#This Row],[total_risk_M02]]</f>
        <v>0</v>
      </c>
      <c r="G73" t="str">
        <f>_xlfn.XLOOKUP(Summary3[[#This Row],[loan_id]],[1]!Loans[loan_id],[1]!Loans[loan_size_band])</f>
        <v>Large</v>
      </c>
    </row>
    <row r="74" spans="1:7" x14ac:dyDescent="0.25">
      <c r="A74" t="s">
        <v>100</v>
      </c>
      <c r="B74">
        <f>IF([1]!Repayment3[[#This Row],[payment_status]]="Full",0,IF([1]!Repayment3[[#This Row],[payment_status]]="Partial",0.5,1))</f>
        <v>0</v>
      </c>
      <c r="C74">
        <f>_xlfn.XLOOKUP(Summary3[[#This Row],[loan_id]],[1]!Loans[loan_id],[1]!Loans[structural_risk])</f>
        <v>0.8</v>
      </c>
      <c r="D74">
        <f>Summary3[[#This Row],[risk_weight]]+Summary3[[#This Row],[stuctural_risk]]</f>
        <v>0.8</v>
      </c>
      <c r="E74">
        <f>_xlfn.XLOOKUP(Summary3[[#This Row],[loan_id]],[1]!Risk2[loan_id],[1]!Risk2[total_risk])</f>
        <v>0.8</v>
      </c>
      <c r="F74" s="2">
        <f>Summary3[[#This Row],[total_risk_M03]]-Summary3[[#This Row],[total_risk_M02]]</f>
        <v>0</v>
      </c>
      <c r="G74" t="str">
        <f>_xlfn.XLOOKUP(Summary3[[#This Row],[loan_id]],[1]!Loans[loan_id],[1]!Loans[loan_size_band])</f>
        <v>Large</v>
      </c>
    </row>
    <row r="75" spans="1:7" x14ac:dyDescent="0.25">
      <c r="A75" t="s">
        <v>102</v>
      </c>
      <c r="B75">
        <f>IF([1]!Repayment3[[#This Row],[payment_status]]="Full",0,IF([1]!Repayment3[[#This Row],[payment_status]]="Partial",0.5,1))</f>
        <v>0</v>
      </c>
      <c r="C75">
        <f>_xlfn.XLOOKUP(Summary3[[#This Row],[loan_id]],[1]!Loans[loan_id],[1]!Loans[structural_risk])</f>
        <v>0.8</v>
      </c>
      <c r="D75">
        <f>Summary3[[#This Row],[risk_weight]]+Summary3[[#This Row],[stuctural_risk]]</f>
        <v>0.8</v>
      </c>
      <c r="E75">
        <f>_xlfn.XLOOKUP(Summary3[[#This Row],[loan_id]],[1]!Risk2[loan_id],[1]!Risk2[total_risk])</f>
        <v>0.8</v>
      </c>
      <c r="F75" s="2">
        <f>Summary3[[#This Row],[total_risk_M03]]-Summary3[[#This Row],[total_risk_M02]]</f>
        <v>0</v>
      </c>
      <c r="G75" t="str">
        <f>_xlfn.XLOOKUP(Summary3[[#This Row],[loan_id]],[1]!Loans[loan_id],[1]!Loans[loan_size_band])</f>
        <v>Large</v>
      </c>
    </row>
    <row r="76" spans="1:7" x14ac:dyDescent="0.25">
      <c r="A76" t="s">
        <v>104</v>
      </c>
      <c r="B76">
        <f>IF([1]!Repayment3[[#This Row],[payment_status]]="Full",0,IF([1]!Repayment3[[#This Row],[payment_status]]="Partial",0.5,1))</f>
        <v>0</v>
      </c>
      <c r="C76">
        <f>_xlfn.XLOOKUP(Summary3[[#This Row],[loan_id]],[1]!Loans[loan_id],[1]!Loans[structural_risk])</f>
        <v>0.8</v>
      </c>
      <c r="D76">
        <f>Summary3[[#This Row],[risk_weight]]+Summary3[[#This Row],[stuctural_risk]]</f>
        <v>0.8</v>
      </c>
      <c r="E76">
        <f>_xlfn.XLOOKUP(Summary3[[#This Row],[loan_id]],[1]!Risk2[loan_id],[1]!Risk2[total_risk])</f>
        <v>0.8</v>
      </c>
      <c r="F76" s="2">
        <f>Summary3[[#This Row],[total_risk_M03]]-Summary3[[#This Row],[total_risk_M02]]</f>
        <v>0</v>
      </c>
      <c r="G76" t="str">
        <f>_xlfn.XLOOKUP(Summary3[[#This Row],[loan_id]],[1]!Loans[loan_id],[1]!Loans[loan_size_band])</f>
        <v>Large</v>
      </c>
    </row>
    <row r="77" spans="1:7" x14ac:dyDescent="0.25">
      <c r="A77" t="s">
        <v>106</v>
      </c>
      <c r="B77">
        <f>IF([1]!Repayment3[[#This Row],[payment_status]]="Full",0,IF([1]!Repayment3[[#This Row],[payment_status]]="Partial",0.5,1))</f>
        <v>0</v>
      </c>
      <c r="C77">
        <f>_xlfn.XLOOKUP(Summary3[[#This Row],[loan_id]],[1]!Loans[loan_id],[1]!Loans[structural_risk])</f>
        <v>0.8</v>
      </c>
      <c r="D77">
        <f>Summary3[[#This Row],[risk_weight]]+Summary3[[#This Row],[stuctural_risk]]</f>
        <v>0.8</v>
      </c>
      <c r="E77">
        <f>_xlfn.XLOOKUP(Summary3[[#This Row],[loan_id]],[1]!Risk2[loan_id],[1]!Risk2[total_risk])</f>
        <v>0.8</v>
      </c>
      <c r="F77" s="2">
        <f>Summary3[[#This Row],[total_risk_M03]]-Summary3[[#This Row],[total_risk_M02]]</f>
        <v>0</v>
      </c>
      <c r="G77" t="str">
        <f>_xlfn.XLOOKUP(Summary3[[#This Row],[loan_id]],[1]!Loans[loan_id],[1]!Loans[loan_size_band])</f>
        <v>Large</v>
      </c>
    </row>
    <row r="78" spans="1:7" x14ac:dyDescent="0.25">
      <c r="A78" t="s">
        <v>110</v>
      </c>
      <c r="B78">
        <f>IF([1]!Repayment3[[#This Row],[payment_status]]="Full",0,IF([1]!Repayment3[[#This Row],[payment_status]]="Partial",0.5,1))</f>
        <v>0</v>
      </c>
      <c r="C78">
        <f>_xlfn.XLOOKUP(Summary3[[#This Row],[loan_id]],[1]!Loans[loan_id],[1]!Loans[structural_risk])</f>
        <v>0.8</v>
      </c>
      <c r="D78">
        <f>Summary3[[#This Row],[risk_weight]]+Summary3[[#This Row],[stuctural_risk]]</f>
        <v>0.8</v>
      </c>
      <c r="E78">
        <f>_xlfn.XLOOKUP(Summary3[[#This Row],[loan_id]],[1]!Risk2[loan_id],[1]!Risk2[total_risk])</f>
        <v>0.8</v>
      </c>
      <c r="F78" s="2">
        <f>Summary3[[#This Row],[total_risk_M03]]-Summary3[[#This Row],[total_risk_M02]]</f>
        <v>0</v>
      </c>
      <c r="G78" t="str">
        <f>_xlfn.XLOOKUP(Summary3[[#This Row],[loan_id]],[1]!Loans[loan_id],[1]!Loans[loan_size_band])</f>
        <v>Large</v>
      </c>
    </row>
    <row r="79" spans="1:7" x14ac:dyDescent="0.25">
      <c r="A79" t="s">
        <v>114</v>
      </c>
      <c r="B79">
        <f>IF([1]!Repayment3[[#This Row],[payment_status]]="Full",0,IF([1]!Repayment3[[#This Row],[payment_status]]="Partial",0.5,1))</f>
        <v>0</v>
      </c>
      <c r="C79">
        <f>_xlfn.XLOOKUP(Summary3[[#This Row],[loan_id]],[1]!Loans[loan_id],[1]!Loans[structural_risk])</f>
        <v>0.8</v>
      </c>
      <c r="D79">
        <f>Summary3[[#This Row],[risk_weight]]+Summary3[[#This Row],[stuctural_risk]]</f>
        <v>0.8</v>
      </c>
      <c r="E79">
        <f>_xlfn.XLOOKUP(Summary3[[#This Row],[loan_id]],[1]!Risk2[loan_id],[1]!Risk2[total_risk])</f>
        <v>0.8</v>
      </c>
      <c r="F79" s="2">
        <f>Summary3[[#This Row],[total_risk_M03]]-Summary3[[#This Row],[total_risk_M02]]</f>
        <v>0</v>
      </c>
      <c r="G79" t="str">
        <f>_xlfn.XLOOKUP(Summary3[[#This Row],[loan_id]],[1]!Loans[loan_id],[1]!Loans[loan_size_band])</f>
        <v>Large</v>
      </c>
    </row>
    <row r="80" spans="1:7" x14ac:dyDescent="0.25">
      <c r="A80" t="s">
        <v>116</v>
      </c>
      <c r="B80">
        <f>IF([1]!Repayment3[[#This Row],[payment_status]]="Full",0,IF([1]!Repayment3[[#This Row],[payment_status]]="Partial",0.5,1))</f>
        <v>0</v>
      </c>
      <c r="C80">
        <f>_xlfn.XLOOKUP(Summary3[[#This Row],[loan_id]],[1]!Loans[loan_id],[1]!Loans[structural_risk])</f>
        <v>0.8</v>
      </c>
      <c r="D80">
        <f>Summary3[[#This Row],[risk_weight]]+Summary3[[#This Row],[stuctural_risk]]</f>
        <v>0.8</v>
      </c>
      <c r="E80">
        <f>_xlfn.XLOOKUP(Summary3[[#This Row],[loan_id]],[1]!Risk2[loan_id],[1]!Risk2[total_risk])</f>
        <v>0.8</v>
      </c>
      <c r="F80" s="2">
        <f>Summary3[[#This Row],[total_risk_M03]]-Summary3[[#This Row],[total_risk_M02]]</f>
        <v>0</v>
      </c>
      <c r="G80" t="str">
        <f>_xlfn.XLOOKUP(Summary3[[#This Row],[loan_id]],[1]!Loans[loan_id],[1]!Loans[loan_size_band])</f>
        <v>Large</v>
      </c>
    </row>
    <row r="81" spans="1:7" x14ac:dyDescent="0.25">
      <c r="A81" t="s">
        <v>118</v>
      </c>
      <c r="B81">
        <f>IF([1]!Repayment3[[#This Row],[payment_status]]="Full",0,IF([1]!Repayment3[[#This Row],[payment_status]]="Partial",0.5,1))</f>
        <v>0</v>
      </c>
      <c r="C81">
        <f>_xlfn.XLOOKUP(Summary3[[#This Row],[loan_id]],[1]!Loans[loan_id],[1]!Loans[structural_risk])</f>
        <v>0.8</v>
      </c>
      <c r="D81">
        <f>Summary3[[#This Row],[risk_weight]]+Summary3[[#This Row],[stuctural_risk]]</f>
        <v>0.8</v>
      </c>
      <c r="E81">
        <f>_xlfn.XLOOKUP(Summary3[[#This Row],[loan_id]],[1]!Risk2[loan_id],[1]!Risk2[total_risk])</f>
        <v>0.8</v>
      </c>
      <c r="F81" s="2">
        <f>Summary3[[#This Row],[total_risk_M03]]-Summary3[[#This Row],[total_risk_M02]]</f>
        <v>0</v>
      </c>
      <c r="G81" t="str">
        <f>_xlfn.XLOOKUP(Summary3[[#This Row],[loan_id]],[1]!Loans[loan_id],[1]!Loans[loan_size_band])</f>
        <v>Large</v>
      </c>
    </row>
    <row r="82" spans="1:7" x14ac:dyDescent="0.25">
      <c r="A82" t="s">
        <v>120</v>
      </c>
      <c r="B82">
        <f>IF([1]!Repayment3[[#This Row],[payment_status]]="Full",0,IF([1]!Repayment3[[#This Row],[payment_status]]="Partial",0.5,1))</f>
        <v>0</v>
      </c>
      <c r="C82">
        <f>_xlfn.XLOOKUP(Summary3[[#This Row],[loan_id]],[1]!Loans[loan_id],[1]!Loans[structural_risk])</f>
        <v>0.8</v>
      </c>
      <c r="D82">
        <f>Summary3[[#This Row],[risk_weight]]+Summary3[[#This Row],[stuctural_risk]]</f>
        <v>0.8</v>
      </c>
      <c r="E82">
        <f>_xlfn.XLOOKUP(Summary3[[#This Row],[loan_id]],[1]!Risk2[loan_id],[1]!Risk2[total_risk])</f>
        <v>0.8</v>
      </c>
      <c r="F82" s="2">
        <f>Summary3[[#This Row],[total_risk_M03]]-Summary3[[#This Row],[total_risk_M02]]</f>
        <v>0</v>
      </c>
      <c r="G82" t="str">
        <f>_xlfn.XLOOKUP(Summary3[[#This Row],[loan_id]],[1]!Loans[loan_id],[1]!Loans[loan_size_band])</f>
        <v>Large</v>
      </c>
    </row>
    <row r="83" spans="1:7" x14ac:dyDescent="0.25">
      <c r="A83" t="s">
        <v>122</v>
      </c>
      <c r="B83">
        <f>IF([1]!Repayment3[[#This Row],[payment_status]]="Full",0,IF([1]!Repayment3[[#This Row],[payment_status]]="Partial",0.5,1))</f>
        <v>0</v>
      </c>
      <c r="C83">
        <f>_xlfn.XLOOKUP(Summary3[[#This Row],[loan_id]],[1]!Loans[loan_id],[1]!Loans[structural_risk])</f>
        <v>0.8</v>
      </c>
      <c r="D83">
        <f>Summary3[[#This Row],[risk_weight]]+Summary3[[#This Row],[stuctural_risk]]</f>
        <v>0.8</v>
      </c>
      <c r="E83">
        <f>_xlfn.XLOOKUP(Summary3[[#This Row],[loan_id]],[1]!Risk2[loan_id],[1]!Risk2[total_risk])</f>
        <v>0.8</v>
      </c>
      <c r="F83" s="2">
        <f>Summary3[[#This Row],[total_risk_M03]]-Summary3[[#This Row],[total_risk_M02]]</f>
        <v>0</v>
      </c>
      <c r="G83" t="str">
        <f>_xlfn.XLOOKUP(Summary3[[#This Row],[loan_id]],[1]!Loans[loan_id],[1]!Loans[loan_size_band])</f>
        <v>Large</v>
      </c>
    </row>
    <row r="84" spans="1:7" x14ac:dyDescent="0.25">
      <c r="A84" t="s">
        <v>124</v>
      </c>
      <c r="B84">
        <f>IF([1]!Repayment3[[#This Row],[payment_status]]="Full",0,IF([1]!Repayment3[[#This Row],[payment_status]]="Partial",0.5,1))</f>
        <v>0</v>
      </c>
      <c r="C84">
        <f>_xlfn.XLOOKUP(Summary3[[#This Row],[loan_id]],[1]!Loans[loan_id],[1]!Loans[structural_risk])</f>
        <v>0.8</v>
      </c>
      <c r="D84">
        <f>Summary3[[#This Row],[risk_weight]]+Summary3[[#This Row],[stuctural_risk]]</f>
        <v>0.8</v>
      </c>
      <c r="E84">
        <f>_xlfn.XLOOKUP(Summary3[[#This Row],[loan_id]],[1]!Risk2[loan_id],[1]!Risk2[total_risk])</f>
        <v>0.8</v>
      </c>
      <c r="F84" s="2">
        <f>Summary3[[#This Row],[total_risk_M03]]-Summary3[[#This Row],[total_risk_M02]]</f>
        <v>0</v>
      </c>
      <c r="G84" t="str">
        <f>_xlfn.XLOOKUP(Summary3[[#This Row],[loan_id]],[1]!Loans[loan_id],[1]!Loans[loan_size_band])</f>
        <v>Large</v>
      </c>
    </row>
    <row r="85" spans="1:7" x14ac:dyDescent="0.25">
      <c r="A85" t="s">
        <v>126</v>
      </c>
      <c r="B85">
        <f>IF([1]!Repayment3[[#This Row],[payment_status]]="Full",0,IF([1]!Repayment3[[#This Row],[payment_status]]="Partial",0.5,1))</f>
        <v>0</v>
      </c>
      <c r="C85">
        <f>_xlfn.XLOOKUP(Summary3[[#This Row],[loan_id]],[1]!Loans[loan_id],[1]!Loans[structural_risk])</f>
        <v>0.8</v>
      </c>
      <c r="D85">
        <f>Summary3[[#This Row],[risk_weight]]+Summary3[[#This Row],[stuctural_risk]]</f>
        <v>0.8</v>
      </c>
      <c r="E85">
        <f>_xlfn.XLOOKUP(Summary3[[#This Row],[loan_id]],[1]!Risk2[loan_id],[1]!Risk2[total_risk])</f>
        <v>0.8</v>
      </c>
      <c r="F85" s="2">
        <f>Summary3[[#This Row],[total_risk_M03]]-Summary3[[#This Row],[total_risk_M02]]</f>
        <v>0</v>
      </c>
      <c r="G85" t="str">
        <f>_xlfn.XLOOKUP(Summary3[[#This Row],[loan_id]],[1]!Loans[loan_id],[1]!Loans[loan_size_band])</f>
        <v>Large</v>
      </c>
    </row>
    <row r="86" spans="1:7" x14ac:dyDescent="0.25">
      <c r="A86" t="s">
        <v>36</v>
      </c>
      <c r="B86">
        <f>IF([1]!Repayment3[[#This Row],[payment_status]]="Full",0,IF([1]!Repayment3[[#This Row],[payment_status]]="Partial",0.5,1))</f>
        <v>0</v>
      </c>
      <c r="C86">
        <f>_xlfn.XLOOKUP(Summary3[[#This Row],[loan_id]],[1]!Loans[loan_id],[1]!Loans[structural_risk])</f>
        <v>0.8</v>
      </c>
      <c r="D86">
        <f>Summary3[[#This Row],[risk_weight]]+Summary3[[#This Row],[stuctural_risk]]</f>
        <v>0.8</v>
      </c>
      <c r="E86">
        <f>_xlfn.XLOOKUP(Summary3[[#This Row],[loan_id]],[1]!Risk2[loan_id],[1]!Risk2[total_risk])</f>
        <v>0.8</v>
      </c>
      <c r="F86" s="2">
        <f>Summary3[[#This Row],[total_risk_M03]]-Summary3[[#This Row],[total_risk_M02]]</f>
        <v>0</v>
      </c>
      <c r="G86" t="str">
        <f>_xlfn.XLOOKUP(Summary3[[#This Row],[loan_id]],[1]!Loans[loan_id],[1]!Loans[loan_size_band])</f>
        <v>Large</v>
      </c>
    </row>
    <row r="87" spans="1:7" x14ac:dyDescent="0.25">
      <c r="A87" t="s">
        <v>38</v>
      </c>
      <c r="B87">
        <f>IF([1]!Repayment3[[#This Row],[payment_status]]="Full",0,IF([1]!Repayment3[[#This Row],[payment_status]]="Partial",0.5,1))</f>
        <v>0</v>
      </c>
      <c r="C87">
        <f>_xlfn.XLOOKUP(Summary3[[#This Row],[loan_id]],[1]!Loans[loan_id],[1]!Loans[structural_risk])</f>
        <v>0.8</v>
      </c>
      <c r="D87">
        <f>Summary3[[#This Row],[risk_weight]]+Summary3[[#This Row],[stuctural_risk]]</f>
        <v>0.8</v>
      </c>
      <c r="E87">
        <f>_xlfn.XLOOKUP(Summary3[[#This Row],[loan_id]],[1]!Risk2[loan_id],[1]!Risk2[total_risk])</f>
        <v>0.8</v>
      </c>
      <c r="F87" s="2">
        <f>Summary3[[#This Row],[total_risk_M03]]-Summary3[[#This Row],[total_risk_M02]]</f>
        <v>0</v>
      </c>
      <c r="G87" t="str">
        <f>_xlfn.XLOOKUP(Summary3[[#This Row],[loan_id]],[1]!Loans[loan_id],[1]!Loans[loan_size_band])</f>
        <v>Large</v>
      </c>
    </row>
    <row r="88" spans="1:7" x14ac:dyDescent="0.25">
      <c r="A88" t="s">
        <v>40</v>
      </c>
      <c r="B88">
        <f>IF([1]!Repayment3[[#This Row],[payment_status]]="Full",0,IF([1]!Repayment3[[#This Row],[payment_status]]="Partial",0.5,1))</f>
        <v>0</v>
      </c>
      <c r="C88">
        <f>_xlfn.XLOOKUP(Summary3[[#This Row],[loan_id]],[1]!Loans[loan_id],[1]!Loans[structural_risk])</f>
        <v>0.8</v>
      </c>
      <c r="D88">
        <f>Summary3[[#This Row],[risk_weight]]+Summary3[[#This Row],[stuctural_risk]]</f>
        <v>0.8</v>
      </c>
      <c r="E88">
        <f>_xlfn.XLOOKUP(Summary3[[#This Row],[loan_id]],[1]!Risk2[loan_id],[1]!Risk2[total_risk])</f>
        <v>0.8</v>
      </c>
      <c r="F88" s="2">
        <f>Summary3[[#This Row],[total_risk_M03]]-Summary3[[#This Row],[total_risk_M02]]</f>
        <v>0</v>
      </c>
      <c r="G88" t="str">
        <f>_xlfn.XLOOKUP(Summary3[[#This Row],[loan_id]],[1]!Loans[loan_id],[1]!Loans[loan_size_band])</f>
        <v>Large</v>
      </c>
    </row>
    <row r="89" spans="1:7" x14ac:dyDescent="0.25">
      <c r="A89" t="s">
        <v>42</v>
      </c>
      <c r="B89">
        <f>IF([1]!Repayment3[[#This Row],[payment_status]]="Full",0,IF([1]!Repayment3[[#This Row],[payment_status]]="Partial",0.5,1))</f>
        <v>0</v>
      </c>
      <c r="C89">
        <f>_xlfn.XLOOKUP(Summary3[[#This Row],[loan_id]],[1]!Loans[loan_id],[1]!Loans[structural_risk])</f>
        <v>0.8</v>
      </c>
      <c r="D89">
        <f>Summary3[[#This Row],[risk_weight]]+Summary3[[#This Row],[stuctural_risk]]</f>
        <v>0.8</v>
      </c>
      <c r="E89">
        <f>_xlfn.XLOOKUP(Summary3[[#This Row],[loan_id]],[1]!Risk2[loan_id],[1]!Risk2[total_risk])</f>
        <v>0.8</v>
      </c>
      <c r="F89" s="2">
        <f>Summary3[[#This Row],[total_risk_M03]]-Summary3[[#This Row],[total_risk_M02]]</f>
        <v>0</v>
      </c>
      <c r="G89" t="str">
        <f>_xlfn.XLOOKUP(Summary3[[#This Row],[loan_id]],[1]!Loans[loan_id],[1]!Loans[loan_size_band])</f>
        <v>Large</v>
      </c>
    </row>
    <row r="90" spans="1:7" x14ac:dyDescent="0.25">
      <c r="A90" t="s">
        <v>44</v>
      </c>
      <c r="B90">
        <f>IF([1]!Repayment3[[#This Row],[payment_status]]="Full",0,IF([1]!Repayment3[[#This Row],[payment_status]]="Partial",0.5,1))</f>
        <v>0</v>
      </c>
      <c r="C90">
        <f>_xlfn.XLOOKUP(Summary3[[#This Row],[loan_id]],[1]!Loans[loan_id],[1]!Loans[structural_risk])</f>
        <v>0.8</v>
      </c>
      <c r="D90">
        <f>Summary3[[#This Row],[risk_weight]]+Summary3[[#This Row],[stuctural_risk]]</f>
        <v>0.8</v>
      </c>
      <c r="E90">
        <f>_xlfn.XLOOKUP(Summary3[[#This Row],[loan_id]],[1]!Risk2[loan_id],[1]!Risk2[total_risk])</f>
        <v>0.8</v>
      </c>
      <c r="F90" s="2">
        <f>Summary3[[#This Row],[total_risk_M03]]-Summary3[[#This Row],[total_risk_M02]]</f>
        <v>0</v>
      </c>
      <c r="G90" t="str">
        <f>_xlfn.XLOOKUP(Summary3[[#This Row],[loan_id]],[1]!Loans[loan_id],[1]!Loans[loan_size_band])</f>
        <v>Large</v>
      </c>
    </row>
    <row r="91" spans="1:7" x14ac:dyDescent="0.25">
      <c r="A91" t="s">
        <v>46</v>
      </c>
      <c r="B91">
        <f>IF([1]!Repayment3[[#This Row],[payment_status]]="Full",0,IF([1]!Repayment3[[#This Row],[payment_status]]="Partial",0.5,1))</f>
        <v>0</v>
      </c>
      <c r="C91">
        <f>_xlfn.XLOOKUP(Summary3[[#This Row],[loan_id]],[1]!Loans[loan_id],[1]!Loans[structural_risk])</f>
        <v>0.8</v>
      </c>
      <c r="D91">
        <f>Summary3[[#This Row],[risk_weight]]+Summary3[[#This Row],[stuctural_risk]]</f>
        <v>0.8</v>
      </c>
      <c r="E91">
        <f>_xlfn.XLOOKUP(Summary3[[#This Row],[loan_id]],[1]!Risk2[loan_id],[1]!Risk2[total_risk])</f>
        <v>0.8</v>
      </c>
      <c r="F91" s="2">
        <f>Summary3[[#This Row],[total_risk_M03]]-Summary3[[#This Row],[total_risk_M02]]</f>
        <v>0</v>
      </c>
      <c r="G91" t="str">
        <f>_xlfn.XLOOKUP(Summary3[[#This Row],[loan_id]],[1]!Loans[loan_id],[1]!Loans[loan_size_band])</f>
        <v>Large</v>
      </c>
    </row>
    <row r="92" spans="1:7" x14ac:dyDescent="0.25">
      <c r="A92" t="s">
        <v>48</v>
      </c>
      <c r="B92">
        <f>IF([1]!Repayment3[[#This Row],[payment_status]]="Full",0,IF([1]!Repayment3[[#This Row],[payment_status]]="Partial",0.5,1))</f>
        <v>0</v>
      </c>
      <c r="C92">
        <f>_xlfn.XLOOKUP(Summary3[[#This Row],[loan_id]],[1]!Loans[loan_id],[1]!Loans[structural_risk])</f>
        <v>0.8</v>
      </c>
      <c r="D92">
        <f>Summary3[[#This Row],[risk_weight]]+Summary3[[#This Row],[stuctural_risk]]</f>
        <v>0.8</v>
      </c>
      <c r="E92">
        <f>_xlfn.XLOOKUP(Summary3[[#This Row],[loan_id]],[1]!Risk2[loan_id],[1]!Risk2[total_risk])</f>
        <v>0.8</v>
      </c>
      <c r="F92" s="2">
        <f>Summary3[[#This Row],[total_risk_M03]]-Summary3[[#This Row],[total_risk_M02]]</f>
        <v>0</v>
      </c>
      <c r="G92" t="str">
        <f>_xlfn.XLOOKUP(Summary3[[#This Row],[loan_id]],[1]!Loans[loan_id],[1]!Loans[loan_size_band])</f>
        <v>Large</v>
      </c>
    </row>
    <row r="93" spans="1:7" x14ac:dyDescent="0.25">
      <c r="A93" t="s">
        <v>52</v>
      </c>
      <c r="B93">
        <f>IF([1]!Repayment3[[#This Row],[payment_status]]="Full",0,IF([1]!Repayment3[[#This Row],[payment_status]]="Partial",0.5,1))</f>
        <v>0</v>
      </c>
      <c r="C93">
        <f>_xlfn.XLOOKUP(Summary3[[#This Row],[loan_id]],[1]!Loans[loan_id],[1]!Loans[structural_risk])</f>
        <v>0.8</v>
      </c>
      <c r="D93">
        <f>Summary3[[#This Row],[risk_weight]]+Summary3[[#This Row],[stuctural_risk]]</f>
        <v>0.8</v>
      </c>
      <c r="E93">
        <f>_xlfn.XLOOKUP(Summary3[[#This Row],[loan_id]],[1]!Risk2[loan_id],[1]!Risk2[total_risk])</f>
        <v>0.8</v>
      </c>
      <c r="F93" s="2">
        <f>Summary3[[#This Row],[total_risk_M03]]-Summary3[[#This Row],[total_risk_M02]]</f>
        <v>0</v>
      </c>
      <c r="G93" t="str">
        <f>_xlfn.XLOOKUP(Summary3[[#This Row],[loan_id]],[1]!Loans[loan_id],[1]!Loans[loan_size_band])</f>
        <v>Large</v>
      </c>
    </row>
    <row r="94" spans="1:7" x14ac:dyDescent="0.25">
      <c r="A94" t="s">
        <v>54</v>
      </c>
      <c r="B94">
        <f>IF([1]!Repayment3[[#This Row],[payment_status]]="Full",0,IF([1]!Repayment3[[#This Row],[payment_status]]="Partial",0.5,1))</f>
        <v>0</v>
      </c>
      <c r="C94">
        <f>_xlfn.XLOOKUP(Summary3[[#This Row],[loan_id]],[1]!Loans[loan_id],[1]!Loans[structural_risk])</f>
        <v>0.8</v>
      </c>
      <c r="D94">
        <f>Summary3[[#This Row],[risk_weight]]+Summary3[[#This Row],[stuctural_risk]]</f>
        <v>0.8</v>
      </c>
      <c r="E94">
        <f>_xlfn.XLOOKUP(Summary3[[#This Row],[loan_id]],[1]!Risk2[loan_id],[1]!Risk2[total_risk])</f>
        <v>0.8</v>
      </c>
      <c r="F94" s="2">
        <f>Summary3[[#This Row],[total_risk_M03]]-Summary3[[#This Row],[total_risk_M02]]</f>
        <v>0</v>
      </c>
      <c r="G94" t="str">
        <f>_xlfn.XLOOKUP(Summary3[[#This Row],[loan_id]],[1]!Loans[loan_id],[1]!Loans[loan_size_band])</f>
        <v>Large</v>
      </c>
    </row>
    <row r="95" spans="1:7" x14ac:dyDescent="0.25">
      <c r="A95" t="s">
        <v>56</v>
      </c>
      <c r="B95">
        <f>IF([1]!Repayment3[[#This Row],[payment_status]]="Full",0,IF([1]!Repayment3[[#This Row],[payment_status]]="Partial",0.5,1))</f>
        <v>0</v>
      </c>
      <c r="C95">
        <f>_xlfn.XLOOKUP(Summary3[[#This Row],[loan_id]],[1]!Loans[loan_id],[1]!Loans[structural_risk])</f>
        <v>0.8</v>
      </c>
      <c r="D95">
        <f>Summary3[[#This Row],[risk_weight]]+Summary3[[#This Row],[stuctural_risk]]</f>
        <v>0.8</v>
      </c>
      <c r="E95">
        <f>_xlfn.XLOOKUP(Summary3[[#This Row],[loan_id]],[1]!Risk2[loan_id],[1]!Risk2[total_risk])</f>
        <v>0.8</v>
      </c>
      <c r="F95" s="2">
        <f>Summary3[[#This Row],[total_risk_M03]]-Summary3[[#This Row],[total_risk_M02]]</f>
        <v>0</v>
      </c>
      <c r="G95" t="str">
        <f>_xlfn.XLOOKUP(Summary3[[#This Row],[loan_id]],[1]!Loans[loan_id],[1]!Loans[loan_size_band])</f>
        <v>Large</v>
      </c>
    </row>
    <row r="96" spans="1:7" x14ac:dyDescent="0.25">
      <c r="A96" t="s">
        <v>60</v>
      </c>
      <c r="B96">
        <f>IF([1]!Repayment3[[#This Row],[payment_status]]="Full",0,IF([1]!Repayment3[[#This Row],[payment_status]]="Partial",0.5,1))</f>
        <v>0</v>
      </c>
      <c r="C96">
        <f>_xlfn.XLOOKUP(Summary3[[#This Row],[loan_id]],[1]!Loans[loan_id],[1]!Loans[structural_risk])</f>
        <v>0.8</v>
      </c>
      <c r="D96">
        <f>Summary3[[#This Row],[risk_weight]]+Summary3[[#This Row],[stuctural_risk]]</f>
        <v>0.8</v>
      </c>
      <c r="E96">
        <f>_xlfn.XLOOKUP(Summary3[[#This Row],[loan_id]],[1]!Risk2[loan_id],[1]!Risk2[total_risk])</f>
        <v>0.8</v>
      </c>
      <c r="F96" s="2">
        <f>Summary3[[#This Row],[total_risk_M03]]-Summary3[[#This Row],[total_risk_M02]]</f>
        <v>0</v>
      </c>
      <c r="G96" t="str">
        <f>_xlfn.XLOOKUP(Summary3[[#This Row],[loan_id]],[1]!Loans[loan_id],[1]!Loans[loan_size_band])</f>
        <v>Large</v>
      </c>
    </row>
    <row r="97" spans="1:7" x14ac:dyDescent="0.25">
      <c r="A97" t="s">
        <v>62</v>
      </c>
      <c r="B97">
        <f>IF([1]!Repayment3[[#This Row],[payment_status]]="Full",0,IF([1]!Repayment3[[#This Row],[payment_status]]="Partial",0.5,1))</f>
        <v>0</v>
      </c>
      <c r="C97">
        <f>_xlfn.XLOOKUP(Summary3[[#This Row],[loan_id]],[1]!Loans[loan_id],[1]!Loans[structural_risk])</f>
        <v>0.8</v>
      </c>
      <c r="D97">
        <f>Summary3[[#This Row],[risk_weight]]+Summary3[[#This Row],[stuctural_risk]]</f>
        <v>0.8</v>
      </c>
      <c r="E97">
        <f>_xlfn.XLOOKUP(Summary3[[#This Row],[loan_id]],[1]!Risk2[loan_id],[1]!Risk2[total_risk])</f>
        <v>0.8</v>
      </c>
      <c r="F97" s="2">
        <f>Summary3[[#This Row],[total_risk_M03]]-Summary3[[#This Row],[total_risk_M02]]</f>
        <v>0</v>
      </c>
      <c r="G97" t="str">
        <f>_xlfn.XLOOKUP(Summary3[[#This Row],[loan_id]],[1]!Loans[loan_id],[1]!Loans[loan_size_band])</f>
        <v>Large</v>
      </c>
    </row>
    <row r="98" spans="1:7" x14ac:dyDescent="0.25">
      <c r="A98" t="s">
        <v>64</v>
      </c>
      <c r="B98">
        <f>IF([1]!Repayment3[[#This Row],[payment_status]]="Full",0,IF([1]!Repayment3[[#This Row],[payment_status]]="Partial",0.5,1))</f>
        <v>0</v>
      </c>
      <c r="C98">
        <f>_xlfn.XLOOKUP(Summary3[[#This Row],[loan_id]],[1]!Loans[loan_id],[1]!Loans[structural_risk])</f>
        <v>0.8</v>
      </c>
      <c r="D98">
        <f>Summary3[[#This Row],[risk_weight]]+Summary3[[#This Row],[stuctural_risk]]</f>
        <v>0.8</v>
      </c>
      <c r="E98">
        <f>_xlfn.XLOOKUP(Summary3[[#This Row],[loan_id]],[1]!Risk2[loan_id],[1]!Risk2[total_risk])</f>
        <v>0.8</v>
      </c>
      <c r="F98" s="2">
        <f>Summary3[[#This Row],[total_risk_M03]]-Summary3[[#This Row],[total_risk_M02]]</f>
        <v>0</v>
      </c>
      <c r="G98" t="str">
        <f>_xlfn.XLOOKUP(Summary3[[#This Row],[loan_id]],[1]!Loans[loan_id],[1]!Loans[loan_size_band])</f>
        <v>Large</v>
      </c>
    </row>
    <row r="99" spans="1:7" x14ac:dyDescent="0.25">
      <c r="A99" t="s">
        <v>66</v>
      </c>
      <c r="B99">
        <f>IF([1]!Repayment3[[#This Row],[payment_status]]="Full",0,IF([1]!Repayment3[[#This Row],[payment_status]]="Partial",0.5,1))</f>
        <v>0</v>
      </c>
      <c r="C99">
        <f>_xlfn.XLOOKUP(Summary3[[#This Row],[loan_id]],[1]!Loans[loan_id],[1]!Loans[structural_risk])</f>
        <v>0.8</v>
      </c>
      <c r="D99">
        <f>Summary3[[#This Row],[risk_weight]]+Summary3[[#This Row],[stuctural_risk]]</f>
        <v>0.8</v>
      </c>
      <c r="E99">
        <f>_xlfn.XLOOKUP(Summary3[[#This Row],[loan_id]],[1]!Risk2[loan_id],[1]!Risk2[total_risk])</f>
        <v>0.8</v>
      </c>
      <c r="F99" s="2">
        <f>Summary3[[#This Row],[total_risk_M03]]-Summary3[[#This Row],[total_risk_M02]]</f>
        <v>0</v>
      </c>
      <c r="G99" t="str">
        <f>_xlfn.XLOOKUP(Summary3[[#This Row],[loan_id]],[1]!Loans[loan_id],[1]!Loans[loan_size_band])</f>
        <v>Large</v>
      </c>
    </row>
    <row r="100" spans="1:7" x14ac:dyDescent="0.25">
      <c r="A100" t="s">
        <v>68</v>
      </c>
      <c r="B100">
        <f>IF([1]!Repayment3[[#This Row],[payment_status]]="Full",0,IF([1]!Repayment3[[#This Row],[payment_status]]="Partial",0.5,1))</f>
        <v>0</v>
      </c>
      <c r="C100">
        <f>_xlfn.XLOOKUP(Summary3[[#This Row],[loan_id]],[1]!Loans[loan_id],[1]!Loans[structural_risk])</f>
        <v>0.8</v>
      </c>
      <c r="D100">
        <f>Summary3[[#This Row],[risk_weight]]+Summary3[[#This Row],[stuctural_risk]]</f>
        <v>0.8</v>
      </c>
      <c r="E100">
        <f>_xlfn.XLOOKUP(Summary3[[#This Row],[loan_id]],[1]!Risk2[loan_id],[1]!Risk2[total_risk])</f>
        <v>0.8</v>
      </c>
      <c r="F100" s="2">
        <f>Summary3[[#This Row],[total_risk_M03]]-Summary3[[#This Row],[total_risk_M02]]</f>
        <v>0</v>
      </c>
      <c r="G100" t="str">
        <f>_xlfn.XLOOKUP(Summary3[[#This Row],[loan_id]],[1]!Loans[loan_id],[1]!Loans[loan_size_band])</f>
        <v>Large</v>
      </c>
    </row>
    <row r="101" spans="1:7" x14ac:dyDescent="0.25">
      <c r="A101" t="s">
        <v>70</v>
      </c>
      <c r="B101">
        <f>IF([1]!Repayment3[[#This Row],[payment_status]]="Full",0,IF([1]!Repayment3[[#This Row],[payment_status]]="Partial",0.5,1))</f>
        <v>0</v>
      </c>
      <c r="C101">
        <f>_xlfn.XLOOKUP(Summary3[[#This Row],[loan_id]],[1]!Loans[loan_id],[1]!Loans[structural_risk])</f>
        <v>0.8</v>
      </c>
      <c r="D101">
        <f>Summary3[[#This Row],[risk_weight]]+Summary3[[#This Row],[stuctural_risk]]</f>
        <v>0.8</v>
      </c>
      <c r="E101">
        <f>_xlfn.XLOOKUP(Summary3[[#This Row],[loan_id]],[1]!Risk2[loan_id],[1]!Risk2[total_risk])</f>
        <v>0.8</v>
      </c>
      <c r="F101" s="2">
        <f>Summary3[[#This Row],[total_risk_M03]]-Summary3[[#This Row],[total_risk_M02]]</f>
        <v>0</v>
      </c>
      <c r="G101" t="str">
        <f>_xlfn.XLOOKUP(Summary3[[#This Row],[loan_id]],[1]!Loans[loan_id],[1]!Loans[loan_size_band])</f>
        <v>Large</v>
      </c>
    </row>
    <row r="102" spans="1:7" x14ac:dyDescent="0.25">
      <c r="A102" t="s">
        <v>72</v>
      </c>
      <c r="B102">
        <f>IF([1]!Repayment3[[#This Row],[payment_status]]="Full",0,IF([1]!Repayment3[[#This Row],[payment_status]]="Partial",0.5,1))</f>
        <v>0</v>
      </c>
      <c r="C102">
        <f>_xlfn.XLOOKUP(Summary3[[#This Row],[loan_id]],[1]!Loans[loan_id],[1]!Loans[structural_risk])</f>
        <v>0.8</v>
      </c>
      <c r="D102">
        <f>Summary3[[#This Row],[risk_weight]]+Summary3[[#This Row],[stuctural_risk]]</f>
        <v>0.8</v>
      </c>
      <c r="E102">
        <f>_xlfn.XLOOKUP(Summary3[[#This Row],[loan_id]],[1]!Risk2[loan_id],[1]!Risk2[total_risk])</f>
        <v>0.8</v>
      </c>
      <c r="F102" s="2">
        <f>Summary3[[#This Row],[total_risk_M03]]-Summary3[[#This Row],[total_risk_M02]]</f>
        <v>0</v>
      </c>
      <c r="G102" t="str">
        <f>_xlfn.XLOOKUP(Summary3[[#This Row],[loan_id]],[1]!Loans[loan_id],[1]!Loans[loan_size_band])</f>
        <v>Large</v>
      </c>
    </row>
    <row r="103" spans="1:7" x14ac:dyDescent="0.25">
      <c r="A103" t="s">
        <v>74</v>
      </c>
      <c r="B103">
        <f>IF([1]!Repayment3[[#This Row],[payment_status]]="Full",0,IF([1]!Repayment3[[#This Row],[payment_status]]="Partial",0.5,1))</f>
        <v>0</v>
      </c>
      <c r="C103">
        <f>_xlfn.XLOOKUP(Summary3[[#This Row],[loan_id]],[1]!Loans[loan_id],[1]!Loans[structural_risk])</f>
        <v>0.8</v>
      </c>
      <c r="D103">
        <f>Summary3[[#This Row],[risk_weight]]+Summary3[[#This Row],[stuctural_risk]]</f>
        <v>0.8</v>
      </c>
      <c r="E103">
        <f>_xlfn.XLOOKUP(Summary3[[#This Row],[loan_id]],[1]!Risk2[loan_id],[1]!Risk2[total_risk])</f>
        <v>0.8</v>
      </c>
      <c r="F103" s="2">
        <f>Summary3[[#This Row],[total_risk_M03]]-Summary3[[#This Row],[total_risk_M02]]</f>
        <v>0</v>
      </c>
      <c r="G103" t="str">
        <f>_xlfn.XLOOKUP(Summary3[[#This Row],[loan_id]],[1]!Loans[loan_id],[1]!Loans[loan_size_band])</f>
        <v>Large</v>
      </c>
    </row>
    <row r="104" spans="1:7" x14ac:dyDescent="0.25">
      <c r="A104" t="s">
        <v>76</v>
      </c>
      <c r="B104">
        <f>IF([1]!Repayment3[[#This Row],[payment_status]]="Full",0,IF([1]!Repayment3[[#This Row],[payment_status]]="Partial",0.5,1))</f>
        <v>0</v>
      </c>
      <c r="C104">
        <f>_xlfn.XLOOKUP(Summary3[[#This Row],[loan_id]],[1]!Loans[loan_id],[1]!Loans[structural_risk])</f>
        <v>0.8</v>
      </c>
      <c r="D104">
        <f>Summary3[[#This Row],[risk_weight]]+Summary3[[#This Row],[stuctural_risk]]</f>
        <v>0.8</v>
      </c>
      <c r="E104">
        <f>_xlfn.XLOOKUP(Summary3[[#This Row],[loan_id]],[1]!Risk2[loan_id],[1]!Risk2[total_risk])</f>
        <v>0.8</v>
      </c>
      <c r="F104" s="2">
        <f>Summary3[[#This Row],[total_risk_M03]]-Summary3[[#This Row],[total_risk_M02]]</f>
        <v>0</v>
      </c>
      <c r="G104" t="str">
        <f>_xlfn.XLOOKUP(Summary3[[#This Row],[loan_id]],[1]!Loans[loan_id],[1]!Loans[loan_size_band])</f>
        <v>Large</v>
      </c>
    </row>
    <row r="105" spans="1:7" x14ac:dyDescent="0.25">
      <c r="A105" t="s">
        <v>78</v>
      </c>
      <c r="B105">
        <f>IF([1]!Repayment3[[#This Row],[payment_status]]="Full",0,IF([1]!Repayment3[[#This Row],[payment_status]]="Partial",0.5,1))</f>
        <v>0</v>
      </c>
      <c r="C105">
        <f>_xlfn.XLOOKUP(Summary3[[#This Row],[loan_id]],[1]!Loans[loan_id],[1]!Loans[structural_risk])</f>
        <v>0.8</v>
      </c>
      <c r="D105">
        <f>Summary3[[#This Row],[risk_weight]]+Summary3[[#This Row],[stuctural_risk]]</f>
        <v>0.8</v>
      </c>
      <c r="E105">
        <f>_xlfn.XLOOKUP(Summary3[[#This Row],[loan_id]],[1]!Risk2[loan_id],[1]!Risk2[total_risk])</f>
        <v>0.8</v>
      </c>
      <c r="F105" s="2">
        <f>Summary3[[#This Row],[total_risk_M03]]-Summary3[[#This Row],[total_risk_M02]]</f>
        <v>0</v>
      </c>
      <c r="G105" t="str">
        <f>_xlfn.XLOOKUP(Summary3[[#This Row],[loan_id]],[1]!Loans[loan_id],[1]!Loans[loan_size_band])</f>
        <v>Large</v>
      </c>
    </row>
    <row r="106" spans="1:7" x14ac:dyDescent="0.25">
      <c r="A106" t="s">
        <v>80</v>
      </c>
      <c r="B106">
        <f>IF([1]!Repayment3[[#This Row],[payment_status]]="Full",0,IF([1]!Repayment3[[#This Row],[payment_status]]="Partial",0.5,1))</f>
        <v>0.5</v>
      </c>
      <c r="C106">
        <f>_xlfn.XLOOKUP(Summary3[[#This Row],[loan_id]],[1]!Loans[loan_id],[1]!Loans[structural_risk])</f>
        <v>0.8</v>
      </c>
      <c r="D106">
        <f>Summary3[[#This Row],[risk_weight]]+Summary3[[#This Row],[stuctural_risk]]</f>
        <v>1.3</v>
      </c>
      <c r="E106">
        <f>_xlfn.XLOOKUP(Summary3[[#This Row],[loan_id]],[1]!Risk2[loan_id],[1]!Risk2[total_risk])</f>
        <v>0.8</v>
      </c>
      <c r="F106" s="2">
        <f>Summary3[[#This Row],[total_risk_M03]]-Summary3[[#This Row],[total_risk_M02]]</f>
        <v>0.5</v>
      </c>
      <c r="G106" t="str">
        <f>_xlfn.XLOOKUP(Summary3[[#This Row],[loan_id]],[1]!Loans[loan_id],[1]!Loans[loan_size_band])</f>
        <v>Large</v>
      </c>
    </row>
    <row r="107" spans="1:7" x14ac:dyDescent="0.25">
      <c r="A107" t="s">
        <v>82</v>
      </c>
      <c r="B107">
        <f>IF([1]!Repayment3[[#This Row],[payment_status]]="Full",0,IF([1]!Repayment3[[#This Row],[payment_status]]="Partial",0.5,1))</f>
        <v>0.5</v>
      </c>
      <c r="C107">
        <f>_xlfn.XLOOKUP(Summary3[[#This Row],[loan_id]],[1]!Loans[loan_id],[1]!Loans[structural_risk])</f>
        <v>0.8</v>
      </c>
      <c r="D107">
        <f>Summary3[[#This Row],[risk_weight]]+Summary3[[#This Row],[stuctural_risk]]</f>
        <v>1.3</v>
      </c>
      <c r="E107">
        <f>_xlfn.XLOOKUP(Summary3[[#This Row],[loan_id]],[1]!Risk2[loan_id],[1]!Risk2[total_risk])</f>
        <v>0.8</v>
      </c>
      <c r="F107" s="2">
        <f>Summary3[[#This Row],[total_risk_M03]]-Summary3[[#This Row],[total_risk_M02]]</f>
        <v>0.5</v>
      </c>
      <c r="G107" t="str">
        <f>_xlfn.XLOOKUP(Summary3[[#This Row],[loan_id]],[1]!Loans[loan_id],[1]!Loans[loan_size_band])</f>
        <v>Large</v>
      </c>
    </row>
    <row r="108" spans="1:7" x14ac:dyDescent="0.25">
      <c r="A108" t="s">
        <v>84</v>
      </c>
      <c r="B108">
        <f>IF([1]!Repayment3[[#This Row],[payment_status]]="Full",0,IF([1]!Repayment3[[#This Row],[payment_status]]="Partial",0.5,1))</f>
        <v>0.5</v>
      </c>
      <c r="C108">
        <f>_xlfn.XLOOKUP(Summary3[[#This Row],[loan_id]],[1]!Loans[loan_id],[1]!Loans[structural_risk])</f>
        <v>0.8</v>
      </c>
      <c r="D108">
        <f>Summary3[[#This Row],[risk_weight]]+Summary3[[#This Row],[stuctural_risk]]</f>
        <v>1.3</v>
      </c>
      <c r="E108">
        <f>_xlfn.XLOOKUP(Summary3[[#This Row],[loan_id]],[1]!Risk2[loan_id],[1]!Risk2[total_risk])</f>
        <v>0.8</v>
      </c>
      <c r="F108" s="2">
        <f>Summary3[[#This Row],[total_risk_M03]]-Summary3[[#This Row],[total_risk_M02]]</f>
        <v>0.5</v>
      </c>
      <c r="G108" t="str">
        <f>_xlfn.XLOOKUP(Summary3[[#This Row],[loan_id]],[1]!Loans[loan_id],[1]!Loans[loan_size_band])</f>
        <v>Large</v>
      </c>
    </row>
    <row r="109" spans="1:7" x14ac:dyDescent="0.25">
      <c r="A109" t="s">
        <v>86</v>
      </c>
      <c r="B109">
        <f>IF([1]!Repayment3[[#This Row],[payment_status]]="Full",0,IF([1]!Repayment3[[#This Row],[payment_status]]="Partial",0.5,1))</f>
        <v>0.5</v>
      </c>
      <c r="C109">
        <f>_xlfn.XLOOKUP(Summary3[[#This Row],[loan_id]],[1]!Loans[loan_id],[1]!Loans[structural_risk])</f>
        <v>0.8</v>
      </c>
      <c r="D109">
        <f>Summary3[[#This Row],[risk_weight]]+Summary3[[#This Row],[stuctural_risk]]</f>
        <v>1.3</v>
      </c>
      <c r="E109">
        <f>_xlfn.XLOOKUP(Summary3[[#This Row],[loan_id]],[1]!Risk2[loan_id],[1]!Risk2[total_risk])</f>
        <v>0.8</v>
      </c>
      <c r="F109" s="2">
        <f>Summary3[[#This Row],[total_risk_M03]]-Summary3[[#This Row],[total_risk_M02]]</f>
        <v>0.5</v>
      </c>
      <c r="G109" t="str">
        <f>_xlfn.XLOOKUP(Summary3[[#This Row],[loan_id]],[1]!Loans[loan_id],[1]!Loans[loan_size_band])</f>
        <v>Large</v>
      </c>
    </row>
    <row r="110" spans="1:7" x14ac:dyDescent="0.25">
      <c r="A110" t="s">
        <v>128</v>
      </c>
      <c r="B110">
        <f>IF([1]!Repayment3[[#This Row],[payment_status]]="Full",0,IF([1]!Repayment3[[#This Row],[payment_status]]="Partial",0.5,1))</f>
        <v>0.5</v>
      </c>
      <c r="C110">
        <f>_xlfn.XLOOKUP(Summary3[[#This Row],[loan_id]],[1]!Loans[loan_id],[1]!Loans[structural_risk])</f>
        <v>0.8</v>
      </c>
      <c r="D110">
        <f>Summary3[[#This Row],[risk_weight]]+Summary3[[#This Row],[stuctural_risk]]</f>
        <v>1.3</v>
      </c>
      <c r="E110">
        <f>_xlfn.XLOOKUP(Summary3[[#This Row],[loan_id]],[1]!Risk2[loan_id],[1]!Risk2[total_risk])</f>
        <v>0.8</v>
      </c>
      <c r="F110" s="2">
        <f>Summary3[[#This Row],[total_risk_M03]]-Summary3[[#This Row],[total_risk_M02]]</f>
        <v>0.5</v>
      </c>
      <c r="G110" t="str">
        <f>_xlfn.XLOOKUP(Summary3[[#This Row],[loan_id]],[1]!Loans[loan_id],[1]!Loans[loan_size_band])</f>
        <v>Large</v>
      </c>
    </row>
    <row r="111" spans="1:7" x14ac:dyDescent="0.25">
      <c r="A111" t="s">
        <v>130</v>
      </c>
      <c r="B111">
        <f>IF([1]!Repayment3[[#This Row],[payment_status]]="Full",0,IF([1]!Repayment3[[#This Row],[payment_status]]="Partial",0.5,1))</f>
        <v>0.5</v>
      </c>
      <c r="C111">
        <f>_xlfn.XLOOKUP(Summary3[[#This Row],[loan_id]],[1]!Loans[loan_id],[1]!Loans[structural_risk])</f>
        <v>0.8</v>
      </c>
      <c r="D111">
        <f>Summary3[[#This Row],[risk_weight]]+Summary3[[#This Row],[stuctural_risk]]</f>
        <v>1.3</v>
      </c>
      <c r="E111">
        <f>_xlfn.XLOOKUP(Summary3[[#This Row],[loan_id]],[1]!Risk2[loan_id],[1]!Risk2[total_risk])</f>
        <v>0.8</v>
      </c>
      <c r="F111" s="2">
        <f>Summary3[[#This Row],[total_risk_M03]]-Summary3[[#This Row],[total_risk_M02]]</f>
        <v>0.5</v>
      </c>
      <c r="G111" t="str">
        <f>_xlfn.XLOOKUP(Summary3[[#This Row],[loan_id]],[1]!Loans[loan_id],[1]!Loans[loan_size_band])</f>
        <v>Large</v>
      </c>
    </row>
    <row r="112" spans="1:7" x14ac:dyDescent="0.25">
      <c r="A112" t="s">
        <v>132</v>
      </c>
      <c r="B112">
        <f>IF([1]!Repayment3[[#This Row],[payment_status]]="Full",0,IF([1]!Repayment3[[#This Row],[payment_status]]="Partial",0.5,1))</f>
        <v>0.5</v>
      </c>
      <c r="C112">
        <f>_xlfn.XLOOKUP(Summary3[[#This Row],[loan_id]],[1]!Loans[loan_id],[1]!Loans[structural_risk])</f>
        <v>0.8</v>
      </c>
      <c r="D112">
        <f>Summary3[[#This Row],[risk_weight]]+Summary3[[#This Row],[stuctural_risk]]</f>
        <v>1.3</v>
      </c>
      <c r="E112">
        <f>_xlfn.XLOOKUP(Summary3[[#This Row],[loan_id]],[1]!Risk2[loan_id],[1]!Risk2[total_risk])</f>
        <v>0.8</v>
      </c>
      <c r="F112" s="2">
        <f>Summary3[[#This Row],[total_risk_M03]]-Summary3[[#This Row],[total_risk_M02]]</f>
        <v>0.5</v>
      </c>
      <c r="G112" t="str">
        <f>_xlfn.XLOOKUP(Summary3[[#This Row],[loan_id]],[1]!Loans[loan_id],[1]!Loans[loan_size_band])</f>
        <v>Large</v>
      </c>
    </row>
    <row r="113" spans="1:7" x14ac:dyDescent="0.25">
      <c r="A113" t="s">
        <v>134</v>
      </c>
      <c r="B113">
        <f>IF([1]!Repayment3[[#This Row],[payment_status]]="Full",0,IF([1]!Repayment3[[#This Row],[payment_status]]="Partial",0.5,1))</f>
        <v>0.5</v>
      </c>
      <c r="C113">
        <f>_xlfn.XLOOKUP(Summary3[[#This Row],[loan_id]],[1]!Loans[loan_id],[1]!Loans[structural_risk])</f>
        <v>0.8</v>
      </c>
      <c r="D113">
        <f>Summary3[[#This Row],[risk_weight]]+Summary3[[#This Row],[stuctural_risk]]</f>
        <v>1.3</v>
      </c>
      <c r="E113">
        <f>_xlfn.XLOOKUP(Summary3[[#This Row],[loan_id]],[1]!Risk2[loan_id],[1]!Risk2[total_risk])</f>
        <v>0.8</v>
      </c>
      <c r="F113" s="2">
        <f>Summary3[[#This Row],[total_risk_M03]]-Summary3[[#This Row],[total_risk_M02]]</f>
        <v>0.5</v>
      </c>
      <c r="G113" t="str">
        <f>_xlfn.XLOOKUP(Summary3[[#This Row],[loan_id]],[1]!Loans[loan_id],[1]!Loans[loan_size_band])</f>
        <v>Large</v>
      </c>
    </row>
    <row r="114" spans="1:7" x14ac:dyDescent="0.25">
      <c r="A114" t="s">
        <v>136</v>
      </c>
      <c r="B114">
        <f>IF([1]!Repayment3[[#This Row],[payment_status]]="Full",0,IF([1]!Repayment3[[#This Row],[payment_status]]="Partial",0.5,1))</f>
        <v>0.5</v>
      </c>
      <c r="C114">
        <f>_xlfn.XLOOKUP(Summary3[[#This Row],[loan_id]],[1]!Loans[loan_id],[1]!Loans[structural_risk])</f>
        <v>0.8</v>
      </c>
      <c r="D114">
        <f>Summary3[[#This Row],[risk_weight]]+Summary3[[#This Row],[stuctural_risk]]</f>
        <v>1.3</v>
      </c>
      <c r="E114">
        <f>_xlfn.XLOOKUP(Summary3[[#This Row],[loan_id]],[1]!Risk2[loan_id],[1]!Risk2[total_risk])</f>
        <v>0.8</v>
      </c>
      <c r="F114" s="2">
        <f>Summary3[[#This Row],[total_risk_M03]]-Summary3[[#This Row],[total_risk_M02]]</f>
        <v>0.5</v>
      </c>
      <c r="G114" t="str">
        <f>_xlfn.XLOOKUP(Summary3[[#This Row],[loan_id]],[1]!Loans[loan_id],[1]!Loans[loan_size_band])</f>
        <v>Large</v>
      </c>
    </row>
    <row r="115" spans="1:7" x14ac:dyDescent="0.25">
      <c r="A115" t="s">
        <v>140</v>
      </c>
      <c r="B115">
        <f>IF([1]!Repayment3[[#This Row],[payment_status]]="Full",0,IF([1]!Repayment3[[#This Row],[payment_status]]="Partial",0.5,1))</f>
        <v>0.5</v>
      </c>
      <c r="C115">
        <f>_xlfn.XLOOKUP(Summary3[[#This Row],[loan_id]],[1]!Loans[loan_id],[1]!Loans[structural_risk])</f>
        <v>0.8</v>
      </c>
      <c r="D115">
        <f>Summary3[[#This Row],[risk_weight]]+Summary3[[#This Row],[stuctural_risk]]</f>
        <v>1.3</v>
      </c>
      <c r="E115">
        <f>_xlfn.XLOOKUP(Summary3[[#This Row],[loan_id]],[1]!Risk2[loan_id],[1]!Risk2[total_risk])</f>
        <v>0.8</v>
      </c>
      <c r="F115" s="2">
        <f>Summary3[[#This Row],[total_risk_M03]]-Summary3[[#This Row],[total_risk_M02]]</f>
        <v>0.5</v>
      </c>
      <c r="G115" t="str">
        <f>_xlfn.XLOOKUP(Summary3[[#This Row],[loan_id]],[1]!Loans[loan_id],[1]!Loans[loan_size_band])</f>
        <v>Large</v>
      </c>
    </row>
    <row r="116" spans="1:7" x14ac:dyDescent="0.25">
      <c r="A116" t="s">
        <v>142</v>
      </c>
      <c r="B116">
        <f>IF([1]!Repayment3[[#This Row],[payment_status]]="Full",0,IF([1]!Repayment3[[#This Row],[payment_status]]="Partial",0.5,1))</f>
        <v>0.5</v>
      </c>
      <c r="C116">
        <f>_xlfn.XLOOKUP(Summary3[[#This Row],[loan_id]],[1]!Loans[loan_id],[1]!Loans[structural_risk])</f>
        <v>0.8</v>
      </c>
      <c r="D116">
        <f>Summary3[[#This Row],[risk_weight]]+Summary3[[#This Row],[stuctural_risk]]</f>
        <v>1.3</v>
      </c>
      <c r="E116">
        <f>_xlfn.XLOOKUP(Summary3[[#This Row],[loan_id]],[1]!Risk2[loan_id],[1]!Risk2[total_risk])</f>
        <v>0.8</v>
      </c>
      <c r="F116" s="2">
        <f>Summary3[[#This Row],[total_risk_M03]]-Summary3[[#This Row],[total_risk_M02]]</f>
        <v>0.5</v>
      </c>
      <c r="G116" t="str">
        <f>_xlfn.XLOOKUP(Summary3[[#This Row],[loan_id]],[1]!Loans[loan_id],[1]!Loans[loan_size_band])</f>
        <v>Large</v>
      </c>
    </row>
    <row r="117" spans="1:7" x14ac:dyDescent="0.25">
      <c r="A117" t="s">
        <v>144</v>
      </c>
      <c r="B117">
        <f>IF([1]!Repayment3[[#This Row],[payment_status]]="Full",0,IF([1]!Repayment3[[#This Row],[payment_status]]="Partial",0.5,1))</f>
        <v>0.5</v>
      </c>
      <c r="C117">
        <f>_xlfn.XLOOKUP(Summary3[[#This Row],[loan_id]],[1]!Loans[loan_id],[1]!Loans[structural_risk])</f>
        <v>0.8</v>
      </c>
      <c r="D117">
        <f>Summary3[[#This Row],[risk_weight]]+Summary3[[#This Row],[stuctural_risk]]</f>
        <v>1.3</v>
      </c>
      <c r="E117">
        <f>_xlfn.XLOOKUP(Summary3[[#This Row],[loan_id]],[1]!Risk2[loan_id],[1]!Risk2[total_risk])</f>
        <v>0.8</v>
      </c>
      <c r="F117" s="2">
        <f>Summary3[[#This Row],[total_risk_M03]]-Summary3[[#This Row],[total_risk_M02]]</f>
        <v>0.5</v>
      </c>
      <c r="G117" t="str">
        <f>_xlfn.XLOOKUP(Summary3[[#This Row],[loan_id]],[1]!Loans[loan_id],[1]!Loans[loan_size_band])</f>
        <v>Large</v>
      </c>
    </row>
    <row r="118" spans="1:7" x14ac:dyDescent="0.25">
      <c r="A118" t="s">
        <v>243</v>
      </c>
      <c r="B118">
        <f>IF([1]!Repayment3[[#This Row],[payment_status]]="Full",0,IF([1]!Repayment3[[#This Row],[payment_status]]="Partial",0.5,1))</f>
        <v>0.5</v>
      </c>
      <c r="C118">
        <f>_xlfn.XLOOKUP(Summary3[[#This Row],[loan_id]],[1]!Loans[loan_id],[1]!Loans[structural_risk])</f>
        <v>0.5</v>
      </c>
      <c r="D118">
        <f>Summary3[[#This Row],[risk_weight]]+Summary3[[#This Row],[stuctural_risk]]</f>
        <v>1</v>
      </c>
      <c r="E118">
        <f>_xlfn.XLOOKUP(Summary3[[#This Row],[loan_id]],[1]!Risk2[loan_id],[1]!Risk2[total_risk])</f>
        <v>0.5</v>
      </c>
      <c r="F118" s="2">
        <f>Summary3[[#This Row],[total_risk_M03]]-Summary3[[#This Row],[total_risk_M02]]</f>
        <v>0.5</v>
      </c>
      <c r="G118" t="str">
        <f>_xlfn.XLOOKUP(Summary3[[#This Row],[loan_id]],[1]!Loans[loan_id],[1]!Loans[loan_size_band])</f>
        <v>Medium</v>
      </c>
    </row>
    <row r="119" spans="1:7" x14ac:dyDescent="0.25">
      <c r="A119" t="s">
        <v>253</v>
      </c>
      <c r="B119">
        <f>IF([1]!Repayment3[[#This Row],[payment_status]]="Full",0,IF([1]!Repayment3[[#This Row],[payment_status]]="Partial",0.5,1))</f>
        <v>0.5</v>
      </c>
      <c r="C119">
        <f>_xlfn.XLOOKUP(Summary3[[#This Row],[loan_id]],[1]!Loans[loan_id],[1]!Loans[structural_risk])</f>
        <v>0.5</v>
      </c>
      <c r="D119">
        <f>Summary3[[#This Row],[risk_weight]]+Summary3[[#This Row],[stuctural_risk]]</f>
        <v>1</v>
      </c>
      <c r="E119">
        <f>_xlfn.XLOOKUP(Summary3[[#This Row],[loan_id]],[1]!Risk2[loan_id],[1]!Risk2[total_risk])</f>
        <v>0.5</v>
      </c>
      <c r="F119" s="2">
        <f>Summary3[[#This Row],[total_risk_M03]]-Summary3[[#This Row],[total_risk_M02]]</f>
        <v>0.5</v>
      </c>
      <c r="G119" t="str">
        <f>_xlfn.XLOOKUP(Summary3[[#This Row],[loan_id]],[1]!Loans[loan_id],[1]!Loans[loan_size_band])</f>
        <v>Medium</v>
      </c>
    </row>
    <row r="120" spans="1:7" x14ac:dyDescent="0.25">
      <c r="A120" t="s">
        <v>255</v>
      </c>
      <c r="B120">
        <f>IF([1]!Repayment3[[#This Row],[payment_status]]="Full",0,IF([1]!Repayment3[[#This Row],[payment_status]]="Partial",0.5,1))</f>
        <v>0.5</v>
      </c>
      <c r="C120">
        <f>_xlfn.XLOOKUP(Summary3[[#This Row],[loan_id]],[1]!Loans[loan_id],[1]!Loans[structural_risk])</f>
        <v>0.5</v>
      </c>
      <c r="D120">
        <f>Summary3[[#This Row],[risk_weight]]+Summary3[[#This Row],[stuctural_risk]]</f>
        <v>1</v>
      </c>
      <c r="E120">
        <f>_xlfn.XLOOKUP(Summary3[[#This Row],[loan_id]],[1]!Risk2[loan_id],[1]!Risk2[total_risk])</f>
        <v>0.5</v>
      </c>
      <c r="F120" s="2">
        <f>Summary3[[#This Row],[total_risk_M03]]-Summary3[[#This Row],[total_risk_M02]]</f>
        <v>0.5</v>
      </c>
      <c r="G120" t="str">
        <f>_xlfn.XLOOKUP(Summary3[[#This Row],[loan_id]],[1]!Loans[loan_id],[1]!Loans[loan_size_band])</f>
        <v>Medium</v>
      </c>
    </row>
    <row r="121" spans="1:7" x14ac:dyDescent="0.25">
      <c r="A121" t="s">
        <v>257</v>
      </c>
      <c r="B121">
        <f>IF([1]!Repayment3[[#This Row],[payment_status]]="Full",0,IF([1]!Repayment3[[#This Row],[payment_status]]="Partial",0.5,1))</f>
        <v>0.5</v>
      </c>
      <c r="C121">
        <f>_xlfn.XLOOKUP(Summary3[[#This Row],[loan_id]],[1]!Loans[loan_id],[1]!Loans[structural_risk])</f>
        <v>0.5</v>
      </c>
      <c r="D121">
        <f>Summary3[[#This Row],[risk_weight]]+Summary3[[#This Row],[stuctural_risk]]</f>
        <v>1</v>
      </c>
      <c r="E121">
        <f>_xlfn.XLOOKUP(Summary3[[#This Row],[loan_id]],[1]!Risk2[loan_id],[1]!Risk2[total_risk])</f>
        <v>0.5</v>
      </c>
      <c r="F121" s="2">
        <f>Summary3[[#This Row],[total_risk_M03]]-Summary3[[#This Row],[total_risk_M02]]</f>
        <v>0.5</v>
      </c>
      <c r="G121" t="str">
        <f>_xlfn.XLOOKUP(Summary3[[#This Row],[loan_id]],[1]!Loans[loan_id],[1]!Loans[loan_size_band])</f>
        <v>Medium</v>
      </c>
    </row>
    <row r="122" spans="1:7" x14ac:dyDescent="0.25">
      <c r="A122" t="s">
        <v>9</v>
      </c>
      <c r="B122">
        <f>IF([1]!Repayment3[[#This Row],[payment_status]]="Full",0,IF([1]!Repayment3[[#This Row],[payment_status]]="Partial",0.5,1))</f>
        <v>0.5</v>
      </c>
      <c r="C122">
        <f>_xlfn.XLOOKUP(Summary3[[#This Row],[loan_id]],[1]!Loans[loan_id],[1]!Loans[structural_risk])</f>
        <v>0.5</v>
      </c>
      <c r="D122">
        <f>Summary3[[#This Row],[risk_weight]]+Summary3[[#This Row],[stuctural_risk]]</f>
        <v>1</v>
      </c>
      <c r="E122">
        <f>_xlfn.XLOOKUP(Summary3[[#This Row],[loan_id]],[1]!Risk2[loan_id],[1]!Risk2[total_risk])</f>
        <v>0.5</v>
      </c>
      <c r="F122" s="2">
        <f>Summary3[[#This Row],[total_risk_M03]]-Summary3[[#This Row],[total_risk_M02]]</f>
        <v>0.5</v>
      </c>
      <c r="G122" t="str">
        <f>_xlfn.XLOOKUP(Summary3[[#This Row],[loan_id]],[1]!Loans[loan_id],[1]!Loans[loan_size_band])</f>
        <v>Medium</v>
      </c>
    </row>
    <row r="123" spans="1:7" x14ac:dyDescent="0.25">
      <c r="A123" t="s">
        <v>108</v>
      </c>
      <c r="B123">
        <f>IF([1]!Repayment3[[#This Row],[payment_status]]="Full",0,IF([1]!Repayment3[[#This Row],[payment_status]]="Partial",0.5,1))</f>
        <v>0.5</v>
      </c>
      <c r="C123">
        <f>_xlfn.XLOOKUP(Summary3[[#This Row],[loan_id]],[1]!Loans[loan_id],[1]!Loans[structural_risk])</f>
        <v>0.5</v>
      </c>
      <c r="D123">
        <f>Summary3[[#This Row],[risk_weight]]+Summary3[[#This Row],[stuctural_risk]]</f>
        <v>1</v>
      </c>
      <c r="E123">
        <f>_xlfn.XLOOKUP(Summary3[[#This Row],[loan_id]],[1]!Risk2[loan_id],[1]!Risk2[total_risk])</f>
        <v>0.5</v>
      </c>
      <c r="F123" s="2">
        <f>Summary3[[#This Row],[total_risk_M03]]-Summary3[[#This Row],[total_risk_M02]]</f>
        <v>0.5</v>
      </c>
      <c r="G123" t="str">
        <f>_xlfn.XLOOKUP(Summary3[[#This Row],[loan_id]],[1]!Loans[loan_id],[1]!Loans[loan_size_band])</f>
        <v>Medium</v>
      </c>
    </row>
    <row r="124" spans="1:7" x14ac:dyDescent="0.25">
      <c r="A124" t="s">
        <v>112</v>
      </c>
      <c r="B124">
        <f>IF([1]!Repayment3[[#This Row],[payment_status]]="Full",0,IF([1]!Repayment3[[#This Row],[payment_status]]="Partial",0.5,1))</f>
        <v>0.5</v>
      </c>
      <c r="C124">
        <f>_xlfn.XLOOKUP(Summary3[[#This Row],[loan_id]],[1]!Loans[loan_id],[1]!Loans[structural_risk])</f>
        <v>0.5</v>
      </c>
      <c r="D124">
        <f>Summary3[[#This Row],[risk_weight]]+Summary3[[#This Row],[stuctural_risk]]</f>
        <v>1</v>
      </c>
      <c r="E124">
        <f>_xlfn.XLOOKUP(Summary3[[#This Row],[loan_id]],[1]!Risk2[loan_id],[1]!Risk2[total_risk])</f>
        <v>0.5</v>
      </c>
      <c r="F124" s="2">
        <f>Summary3[[#This Row],[total_risk_M03]]-Summary3[[#This Row],[total_risk_M02]]</f>
        <v>0.5</v>
      </c>
      <c r="G124" t="str">
        <f>_xlfn.XLOOKUP(Summary3[[#This Row],[loan_id]],[1]!Loans[loan_id],[1]!Loans[loan_size_band])</f>
        <v>Medium</v>
      </c>
    </row>
    <row r="125" spans="1:7" x14ac:dyDescent="0.25">
      <c r="A125" t="s">
        <v>50</v>
      </c>
      <c r="B125">
        <f>IF([1]!Repayment3[[#This Row],[payment_status]]="Full",0,IF([1]!Repayment3[[#This Row],[payment_status]]="Partial",0.5,1))</f>
        <v>0.5</v>
      </c>
      <c r="C125">
        <f>_xlfn.XLOOKUP(Summary3[[#This Row],[loan_id]],[1]!Loans[loan_id],[1]!Loans[structural_risk])</f>
        <v>0.5</v>
      </c>
      <c r="D125">
        <f>Summary3[[#This Row],[risk_weight]]+Summary3[[#This Row],[stuctural_risk]]</f>
        <v>1</v>
      </c>
      <c r="E125">
        <f>_xlfn.XLOOKUP(Summary3[[#This Row],[loan_id]],[1]!Risk2[loan_id],[1]!Risk2[total_risk])</f>
        <v>0.5</v>
      </c>
      <c r="F125" s="2">
        <f>Summary3[[#This Row],[total_risk_M03]]-Summary3[[#This Row],[total_risk_M02]]</f>
        <v>0.5</v>
      </c>
      <c r="G125" t="str">
        <f>_xlfn.XLOOKUP(Summary3[[#This Row],[loan_id]],[1]!Loans[loan_id],[1]!Loans[loan_size_band])</f>
        <v>Medium</v>
      </c>
    </row>
    <row r="126" spans="1:7" x14ac:dyDescent="0.25">
      <c r="A126" t="s">
        <v>58</v>
      </c>
      <c r="B126">
        <f>IF([1]!Repayment3[[#This Row],[payment_status]]="Full",0,IF([1]!Repayment3[[#This Row],[payment_status]]="Partial",0.5,1))</f>
        <v>0.5</v>
      </c>
      <c r="C126">
        <f>_xlfn.XLOOKUP(Summary3[[#This Row],[loan_id]],[1]!Loans[loan_id],[1]!Loans[structural_risk])</f>
        <v>0.5</v>
      </c>
      <c r="D126">
        <f>Summary3[[#This Row],[risk_weight]]+Summary3[[#This Row],[stuctural_risk]]</f>
        <v>1</v>
      </c>
      <c r="E126">
        <f>_xlfn.XLOOKUP(Summary3[[#This Row],[loan_id]],[1]!Risk2[loan_id],[1]!Risk2[total_risk])</f>
        <v>0.5</v>
      </c>
      <c r="F126" s="2">
        <f>Summary3[[#This Row],[total_risk_M03]]-Summary3[[#This Row],[total_risk_M02]]</f>
        <v>0.5</v>
      </c>
      <c r="G126" t="str">
        <f>_xlfn.XLOOKUP(Summary3[[#This Row],[loan_id]],[1]!Loans[loan_id],[1]!Loans[loan_size_band])</f>
        <v>Medium</v>
      </c>
    </row>
    <row r="127" spans="1:7" x14ac:dyDescent="0.25">
      <c r="A127" t="s">
        <v>88</v>
      </c>
      <c r="B127">
        <f>IF([1]!Repayment3[[#This Row],[payment_status]]="Full",0,IF([1]!Repayment3[[#This Row],[payment_status]]="Partial",0.5,1))</f>
        <v>0.5</v>
      </c>
      <c r="C127">
        <f>_xlfn.XLOOKUP(Summary3[[#This Row],[loan_id]],[1]!Loans[loan_id],[1]!Loans[structural_risk])</f>
        <v>0.5</v>
      </c>
      <c r="D127">
        <f>Summary3[[#This Row],[risk_weight]]+Summary3[[#This Row],[stuctural_risk]]</f>
        <v>1</v>
      </c>
      <c r="E127">
        <f>_xlfn.XLOOKUP(Summary3[[#This Row],[loan_id]],[1]!Risk2[loan_id],[1]!Risk2[total_risk])</f>
        <v>0.5</v>
      </c>
      <c r="F127" s="2">
        <f>Summary3[[#This Row],[total_risk_M03]]-Summary3[[#This Row],[total_risk_M02]]</f>
        <v>0.5</v>
      </c>
      <c r="G127" t="str">
        <f>_xlfn.XLOOKUP(Summary3[[#This Row],[loan_id]],[1]!Loans[loan_id],[1]!Loans[loan_size_band])</f>
        <v>Medium</v>
      </c>
    </row>
    <row r="128" spans="1:7" x14ac:dyDescent="0.25">
      <c r="A128" t="s">
        <v>138</v>
      </c>
      <c r="B128">
        <f>IF([1]!Repayment3[[#This Row],[payment_status]]="Full",0,IF([1]!Repayment3[[#This Row],[payment_status]]="Partial",0.5,1))</f>
        <v>0.5</v>
      </c>
      <c r="C128">
        <f>_xlfn.XLOOKUP(Summary3[[#This Row],[loan_id]],[1]!Loans[loan_id],[1]!Loans[structural_risk])</f>
        <v>0.5</v>
      </c>
      <c r="D128">
        <f>Summary3[[#This Row],[risk_weight]]+Summary3[[#This Row],[stuctural_risk]]</f>
        <v>1</v>
      </c>
      <c r="E128">
        <f>_xlfn.XLOOKUP(Summary3[[#This Row],[loan_id]],[1]!Risk2[loan_id],[1]!Risk2[total_risk])</f>
        <v>0.5</v>
      </c>
      <c r="F128" s="2">
        <f>Summary3[[#This Row],[total_risk_M03]]-Summary3[[#This Row],[total_risk_M02]]</f>
        <v>0.5</v>
      </c>
      <c r="G128" t="str">
        <f>_xlfn.XLOOKUP(Summary3[[#This Row],[loan_id]],[1]!Loans[loan_id],[1]!Loans[loan_size_band])</f>
        <v>Medium</v>
      </c>
    </row>
    <row r="129" spans="1:7" x14ac:dyDescent="0.25">
      <c r="A129" t="s">
        <v>182</v>
      </c>
      <c r="B129">
        <f>IF([1]!Repayment3[[#This Row],[payment_status]]="Full",0,IF([1]!Repayment3[[#This Row],[payment_status]]="Partial",0.5,1))</f>
        <v>0.5</v>
      </c>
      <c r="C129">
        <f>_xlfn.XLOOKUP(Summary3[[#This Row],[loan_id]],[1]!Loans[loan_id],[1]!Loans[structural_risk])</f>
        <v>0.5</v>
      </c>
      <c r="D129">
        <f>Summary3[[#This Row],[risk_weight]]+Summary3[[#This Row],[stuctural_risk]]</f>
        <v>1</v>
      </c>
      <c r="E129">
        <f>_xlfn.XLOOKUP(Summary3[[#This Row],[loan_id]],[1]!Risk2[loan_id],[1]!Risk2[total_risk])</f>
        <v>0.5</v>
      </c>
      <c r="F129" s="2">
        <f>Summary3[[#This Row],[total_risk_M03]]-Summary3[[#This Row],[total_risk_M02]]</f>
        <v>0.5</v>
      </c>
      <c r="G129" t="str">
        <f>_xlfn.XLOOKUP(Summary3[[#This Row],[loan_id]],[1]!Loans[loan_id],[1]!Loans[loan_size_band])</f>
        <v>Medium</v>
      </c>
    </row>
    <row r="130" spans="1:7" x14ac:dyDescent="0.25">
      <c r="A130" t="s">
        <v>16</v>
      </c>
      <c r="B130">
        <f>IF([1]!Repayment3[[#This Row],[payment_status]]="Full",0,IF([1]!Repayment3[[#This Row],[payment_status]]="Partial",0.5,1))</f>
        <v>0.5</v>
      </c>
      <c r="C130">
        <f>_xlfn.XLOOKUP(Summary3[[#This Row],[loan_id]],[1]!Loans[loan_id],[1]!Loans[structural_risk])</f>
        <v>0.2</v>
      </c>
      <c r="D130">
        <f>Summary3[[#This Row],[risk_weight]]+Summary3[[#This Row],[stuctural_risk]]</f>
        <v>0.7</v>
      </c>
      <c r="E130">
        <f>_xlfn.XLOOKUP(Summary3[[#This Row],[loan_id]],[1]!Risk2[loan_id],[1]!Risk2[total_risk])</f>
        <v>0.2</v>
      </c>
      <c r="F130" s="2">
        <f>Summary3[[#This Row],[total_risk_M03]]-Summary3[[#This Row],[total_risk_M02]]</f>
        <v>0.49999999999999994</v>
      </c>
      <c r="G130" t="str">
        <f>_xlfn.XLOOKUP(Summary3[[#This Row],[loan_id]],[1]!Loans[loan_id],[1]!Loans[loan_size_band])</f>
        <v>Small</v>
      </c>
    </row>
    <row r="131" spans="1:7" x14ac:dyDescent="0.25">
      <c r="A131" t="s">
        <v>146</v>
      </c>
      <c r="B131">
        <f>IF([1]!Repayment3[[#This Row],[payment_status]]="Full",0,IF([1]!Repayment3[[#This Row],[payment_status]]="Partial",0.5,1))</f>
        <v>0.5</v>
      </c>
      <c r="C131">
        <f>_xlfn.XLOOKUP(Summary3[[#This Row],[loan_id]],[1]!Loans[loan_id],[1]!Loans[structural_risk])</f>
        <v>0.8</v>
      </c>
      <c r="D131">
        <f>Summary3[[#This Row],[risk_weight]]+Summary3[[#This Row],[stuctural_risk]]</f>
        <v>1.3</v>
      </c>
      <c r="E131">
        <f>_xlfn.XLOOKUP(Summary3[[#This Row],[loan_id]],[1]!Risk2[loan_id],[1]!Risk2[total_risk])</f>
        <v>0.8</v>
      </c>
      <c r="F131" s="2">
        <f>Summary3[[#This Row],[total_risk_M03]]-Summary3[[#This Row],[total_risk_M02]]</f>
        <v>0.5</v>
      </c>
      <c r="G131" t="str">
        <f>_xlfn.XLOOKUP(Summary3[[#This Row],[loan_id]],[1]!Loans[loan_id],[1]!Loans[loan_size_band])</f>
        <v>Large</v>
      </c>
    </row>
    <row r="132" spans="1:7" x14ac:dyDescent="0.25">
      <c r="A132" t="s">
        <v>148</v>
      </c>
      <c r="B132">
        <f>IF([1]!Repayment3[[#This Row],[payment_status]]="Full",0,IF([1]!Repayment3[[#This Row],[payment_status]]="Partial",0.5,1))</f>
        <v>0.5</v>
      </c>
      <c r="C132">
        <f>_xlfn.XLOOKUP(Summary3[[#This Row],[loan_id]],[1]!Loans[loan_id],[1]!Loans[structural_risk])</f>
        <v>0.8</v>
      </c>
      <c r="D132">
        <f>Summary3[[#This Row],[risk_weight]]+Summary3[[#This Row],[stuctural_risk]]</f>
        <v>1.3</v>
      </c>
      <c r="E132">
        <f>_xlfn.XLOOKUP(Summary3[[#This Row],[loan_id]],[1]!Risk2[loan_id],[1]!Risk2[total_risk])</f>
        <v>0.8</v>
      </c>
      <c r="F132" s="2">
        <f>Summary3[[#This Row],[total_risk_M03]]-Summary3[[#This Row],[total_risk_M02]]</f>
        <v>0.5</v>
      </c>
      <c r="G132" t="str">
        <f>_xlfn.XLOOKUP(Summary3[[#This Row],[loan_id]],[1]!Loans[loan_id],[1]!Loans[loan_size_band])</f>
        <v>Large</v>
      </c>
    </row>
    <row r="133" spans="1:7" x14ac:dyDescent="0.25">
      <c r="A133" t="s">
        <v>150</v>
      </c>
      <c r="B133">
        <f>IF([1]!Repayment3[[#This Row],[payment_status]]="Full",0,IF([1]!Repayment3[[#This Row],[payment_status]]="Partial",0.5,1))</f>
        <v>0.5</v>
      </c>
      <c r="C133">
        <f>_xlfn.XLOOKUP(Summary3[[#This Row],[loan_id]],[1]!Loans[loan_id],[1]!Loans[structural_risk])</f>
        <v>0.8</v>
      </c>
      <c r="D133">
        <f>Summary3[[#This Row],[risk_weight]]+Summary3[[#This Row],[stuctural_risk]]</f>
        <v>1.3</v>
      </c>
      <c r="E133">
        <f>_xlfn.XLOOKUP(Summary3[[#This Row],[loan_id]],[1]!Risk2[loan_id],[1]!Risk2[total_risk])</f>
        <v>0.8</v>
      </c>
      <c r="F133" s="2">
        <f>Summary3[[#This Row],[total_risk_M03]]-Summary3[[#This Row],[total_risk_M02]]</f>
        <v>0.5</v>
      </c>
      <c r="G133" t="str">
        <f>_xlfn.XLOOKUP(Summary3[[#This Row],[loan_id]],[1]!Loans[loan_id],[1]!Loans[loan_size_band])</f>
        <v>Large</v>
      </c>
    </row>
    <row r="134" spans="1:7" x14ac:dyDescent="0.25">
      <c r="A134" t="s">
        <v>152</v>
      </c>
      <c r="B134">
        <f>IF([1]!Repayment3[[#This Row],[payment_status]]="Full",0,IF([1]!Repayment3[[#This Row],[payment_status]]="Partial",0.5,1))</f>
        <v>0.5</v>
      </c>
      <c r="C134">
        <f>_xlfn.XLOOKUP(Summary3[[#This Row],[loan_id]],[1]!Loans[loan_id],[1]!Loans[structural_risk])</f>
        <v>0.8</v>
      </c>
      <c r="D134">
        <f>Summary3[[#This Row],[risk_weight]]+Summary3[[#This Row],[stuctural_risk]]</f>
        <v>1.3</v>
      </c>
      <c r="E134">
        <f>_xlfn.XLOOKUP(Summary3[[#This Row],[loan_id]],[1]!Risk2[loan_id],[1]!Risk2[total_risk])</f>
        <v>0.8</v>
      </c>
      <c r="F134" s="2">
        <f>Summary3[[#This Row],[total_risk_M03]]-Summary3[[#This Row],[total_risk_M02]]</f>
        <v>0.5</v>
      </c>
      <c r="G134" t="str">
        <f>_xlfn.XLOOKUP(Summary3[[#This Row],[loan_id]],[1]!Loans[loan_id],[1]!Loans[loan_size_band])</f>
        <v>Large</v>
      </c>
    </row>
    <row r="135" spans="1:7" x14ac:dyDescent="0.25">
      <c r="A135" t="s">
        <v>154</v>
      </c>
      <c r="B135">
        <f>IF([1]!Repayment3[[#This Row],[payment_status]]="Full",0,IF([1]!Repayment3[[#This Row],[payment_status]]="Partial",0.5,1))</f>
        <v>0.5</v>
      </c>
      <c r="C135">
        <f>_xlfn.XLOOKUP(Summary3[[#This Row],[loan_id]],[1]!Loans[loan_id],[1]!Loans[structural_risk])</f>
        <v>0.8</v>
      </c>
      <c r="D135">
        <f>Summary3[[#This Row],[risk_weight]]+Summary3[[#This Row],[stuctural_risk]]</f>
        <v>1.3</v>
      </c>
      <c r="E135">
        <f>_xlfn.XLOOKUP(Summary3[[#This Row],[loan_id]],[1]!Risk2[loan_id],[1]!Risk2[total_risk])</f>
        <v>0.8</v>
      </c>
      <c r="F135" s="2">
        <f>Summary3[[#This Row],[total_risk_M03]]-Summary3[[#This Row],[total_risk_M02]]</f>
        <v>0.5</v>
      </c>
      <c r="G135" t="str">
        <f>_xlfn.XLOOKUP(Summary3[[#This Row],[loan_id]],[1]!Loans[loan_id],[1]!Loans[loan_size_band])</f>
        <v>Large</v>
      </c>
    </row>
    <row r="136" spans="1:7" x14ac:dyDescent="0.25">
      <c r="A136" t="s">
        <v>156</v>
      </c>
      <c r="B136">
        <f>IF([1]!Repayment3[[#This Row],[payment_status]]="Full",0,IF([1]!Repayment3[[#This Row],[payment_status]]="Partial",0.5,1))</f>
        <v>0.5</v>
      </c>
      <c r="C136">
        <f>_xlfn.XLOOKUP(Summary3[[#This Row],[loan_id]],[1]!Loans[loan_id],[1]!Loans[structural_risk])</f>
        <v>0.8</v>
      </c>
      <c r="D136">
        <f>Summary3[[#This Row],[risk_weight]]+Summary3[[#This Row],[stuctural_risk]]</f>
        <v>1.3</v>
      </c>
      <c r="E136">
        <f>_xlfn.XLOOKUP(Summary3[[#This Row],[loan_id]],[1]!Risk2[loan_id],[1]!Risk2[total_risk])</f>
        <v>0.8</v>
      </c>
      <c r="F136" s="2">
        <f>Summary3[[#This Row],[total_risk_M03]]-Summary3[[#This Row],[total_risk_M02]]</f>
        <v>0.5</v>
      </c>
      <c r="G136" t="str">
        <f>_xlfn.XLOOKUP(Summary3[[#This Row],[loan_id]],[1]!Loans[loan_id],[1]!Loans[loan_size_band])</f>
        <v>Large</v>
      </c>
    </row>
    <row r="137" spans="1:7" x14ac:dyDescent="0.25">
      <c r="A137" t="s">
        <v>158</v>
      </c>
      <c r="B137">
        <f>IF([1]!Repayment3[[#This Row],[payment_status]]="Full",0,IF([1]!Repayment3[[#This Row],[payment_status]]="Partial",0.5,1))</f>
        <v>0.5</v>
      </c>
      <c r="C137">
        <f>_xlfn.XLOOKUP(Summary3[[#This Row],[loan_id]],[1]!Loans[loan_id],[1]!Loans[structural_risk])</f>
        <v>0.8</v>
      </c>
      <c r="D137">
        <f>Summary3[[#This Row],[risk_weight]]+Summary3[[#This Row],[stuctural_risk]]</f>
        <v>1.3</v>
      </c>
      <c r="E137">
        <f>_xlfn.XLOOKUP(Summary3[[#This Row],[loan_id]],[1]!Risk2[loan_id],[1]!Risk2[total_risk])</f>
        <v>0.8</v>
      </c>
      <c r="F137" s="2">
        <f>Summary3[[#This Row],[total_risk_M03]]-Summary3[[#This Row],[total_risk_M02]]</f>
        <v>0.5</v>
      </c>
      <c r="G137" t="str">
        <f>_xlfn.XLOOKUP(Summary3[[#This Row],[loan_id]],[1]!Loans[loan_id],[1]!Loans[loan_size_band])</f>
        <v>Large</v>
      </c>
    </row>
    <row r="138" spans="1:7" x14ac:dyDescent="0.25">
      <c r="A138" t="s">
        <v>160</v>
      </c>
      <c r="B138">
        <f>IF([1]!Repayment3[[#This Row],[payment_status]]="Full",0,IF([1]!Repayment3[[#This Row],[payment_status]]="Partial",0.5,1))</f>
        <v>0.5</v>
      </c>
      <c r="C138">
        <f>_xlfn.XLOOKUP(Summary3[[#This Row],[loan_id]],[1]!Loans[loan_id],[1]!Loans[structural_risk])</f>
        <v>0.8</v>
      </c>
      <c r="D138">
        <f>Summary3[[#This Row],[risk_weight]]+Summary3[[#This Row],[stuctural_risk]]</f>
        <v>1.3</v>
      </c>
      <c r="E138">
        <f>_xlfn.XLOOKUP(Summary3[[#This Row],[loan_id]],[1]!Risk2[loan_id],[1]!Risk2[total_risk])</f>
        <v>0.8</v>
      </c>
      <c r="F138" s="2">
        <f>Summary3[[#This Row],[total_risk_M03]]-Summary3[[#This Row],[total_risk_M02]]</f>
        <v>0.5</v>
      </c>
      <c r="G138" t="str">
        <f>_xlfn.XLOOKUP(Summary3[[#This Row],[loan_id]],[1]!Loans[loan_id],[1]!Loans[loan_size_band])</f>
        <v>Large</v>
      </c>
    </row>
    <row r="139" spans="1:7" x14ac:dyDescent="0.25">
      <c r="A139" t="s">
        <v>162</v>
      </c>
      <c r="B139">
        <f>IF([1]!Repayment3[[#This Row],[payment_status]]="Full",0,IF([1]!Repayment3[[#This Row],[payment_status]]="Partial",0.5,1))</f>
        <v>0.5</v>
      </c>
      <c r="C139">
        <f>_xlfn.XLOOKUP(Summary3[[#This Row],[loan_id]],[1]!Loans[loan_id],[1]!Loans[structural_risk])</f>
        <v>0.8</v>
      </c>
      <c r="D139">
        <f>Summary3[[#This Row],[risk_weight]]+Summary3[[#This Row],[stuctural_risk]]</f>
        <v>1.3</v>
      </c>
      <c r="E139">
        <f>_xlfn.XLOOKUP(Summary3[[#This Row],[loan_id]],[1]!Risk2[loan_id],[1]!Risk2[total_risk])</f>
        <v>0.8</v>
      </c>
      <c r="F139" s="2">
        <f>Summary3[[#This Row],[total_risk_M03]]-Summary3[[#This Row],[total_risk_M02]]</f>
        <v>0.5</v>
      </c>
      <c r="G139" t="str">
        <f>_xlfn.XLOOKUP(Summary3[[#This Row],[loan_id]],[1]!Loans[loan_id],[1]!Loans[loan_size_band])</f>
        <v>Large</v>
      </c>
    </row>
    <row r="140" spans="1:7" x14ac:dyDescent="0.25">
      <c r="A140" t="s">
        <v>164</v>
      </c>
      <c r="B140">
        <f>IF([1]!Repayment3[[#This Row],[payment_status]]="Full",0,IF([1]!Repayment3[[#This Row],[payment_status]]="Partial",0.5,1))</f>
        <v>0.5</v>
      </c>
      <c r="C140">
        <f>_xlfn.XLOOKUP(Summary3[[#This Row],[loan_id]],[1]!Loans[loan_id],[1]!Loans[structural_risk])</f>
        <v>0.8</v>
      </c>
      <c r="D140">
        <f>Summary3[[#This Row],[risk_weight]]+Summary3[[#This Row],[stuctural_risk]]</f>
        <v>1.3</v>
      </c>
      <c r="E140">
        <f>_xlfn.XLOOKUP(Summary3[[#This Row],[loan_id]],[1]!Risk2[loan_id],[1]!Risk2[total_risk])</f>
        <v>0.8</v>
      </c>
      <c r="F140" s="2">
        <f>Summary3[[#This Row],[total_risk_M03]]-Summary3[[#This Row],[total_risk_M02]]</f>
        <v>0.5</v>
      </c>
      <c r="G140" t="str">
        <f>_xlfn.XLOOKUP(Summary3[[#This Row],[loan_id]],[1]!Loans[loan_id],[1]!Loans[loan_size_band])</f>
        <v>Large</v>
      </c>
    </row>
    <row r="141" spans="1:7" x14ac:dyDescent="0.25">
      <c r="A141" t="s">
        <v>166</v>
      </c>
      <c r="B141">
        <f>IF([1]!Repayment3[[#This Row],[payment_status]]="Full",0,IF([1]!Repayment3[[#This Row],[payment_status]]="Partial",0.5,1))</f>
        <v>0.5</v>
      </c>
      <c r="C141">
        <f>_xlfn.XLOOKUP(Summary3[[#This Row],[loan_id]],[1]!Loans[loan_id],[1]!Loans[structural_risk])</f>
        <v>0.8</v>
      </c>
      <c r="D141">
        <f>Summary3[[#This Row],[risk_weight]]+Summary3[[#This Row],[stuctural_risk]]</f>
        <v>1.3</v>
      </c>
      <c r="E141">
        <f>_xlfn.XLOOKUP(Summary3[[#This Row],[loan_id]],[1]!Risk2[loan_id],[1]!Risk2[total_risk])</f>
        <v>0.8</v>
      </c>
      <c r="F141" s="2">
        <f>Summary3[[#This Row],[total_risk_M03]]-Summary3[[#This Row],[total_risk_M02]]</f>
        <v>0.5</v>
      </c>
      <c r="G141" t="str">
        <f>_xlfn.XLOOKUP(Summary3[[#This Row],[loan_id]],[1]!Loans[loan_id],[1]!Loans[loan_size_band])</f>
        <v>Large</v>
      </c>
    </row>
    <row r="142" spans="1:7" x14ac:dyDescent="0.25">
      <c r="A142" t="s">
        <v>168</v>
      </c>
      <c r="B142">
        <f>IF([1]!Repayment3[[#This Row],[payment_status]]="Full",0,IF([1]!Repayment3[[#This Row],[payment_status]]="Partial",0.5,1))</f>
        <v>0.5</v>
      </c>
      <c r="C142">
        <f>_xlfn.XLOOKUP(Summary3[[#This Row],[loan_id]],[1]!Loans[loan_id],[1]!Loans[structural_risk])</f>
        <v>0.8</v>
      </c>
      <c r="D142">
        <f>Summary3[[#This Row],[risk_weight]]+Summary3[[#This Row],[stuctural_risk]]</f>
        <v>1.3</v>
      </c>
      <c r="E142">
        <f>_xlfn.XLOOKUP(Summary3[[#This Row],[loan_id]],[1]!Risk2[loan_id],[1]!Risk2[total_risk])</f>
        <v>0.8</v>
      </c>
      <c r="F142" s="2">
        <f>Summary3[[#This Row],[total_risk_M03]]-Summary3[[#This Row],[total_risk_M02]]</f>
        <v>0.5</v>
      </c>
      <c r="G142" t="str">
        <f>_xlfn.XLOOKUP(Summary3[[#This Row],[loan_id]],[1]!Loans[loan_id],[1]!Loans[loan_size_band])</f>
        <v>Large</v>
      </c>
    </row>
    <row r="143" spans="1:7" x14ac:dyDescent="0.25">
      <c r="A143" t="s">
        <v>170</v>
      </c>
      <c r="B143">
        <f>IF([1]!Repayment3[[#This Row],[payment_status]]="Full",0,IF([1]!Repayment3[[#This Row],[payment_status]]="Partial",0.5,1))</f>
        <v>0.5</v>
      </c>
      <c r="C143">
        <f>_xlfn.XLOOKUP(Summary3[[#This Row],[loan_id]],[1]!Loans[loan_id],[1]!Loans[structural_risk])</f>
        <v>0.8</v>
      </c>
      <c r="D143">
        <f>Summary3[[#This Row],[risk_weight]]+Summary3[[#This Row],[stuctural_risk]]</f>
        <v>1.3</v>
      </c>
      <c r="E143">
        <f>_xlfn.XLOOKUP(Summary3[[#This Row],[loan_id]],[1]!Risk2[loan_id],[1]!Risk2[total_risk])</f>
        <v>0.8</v>
      </c>
      <c r="F143" s="2">
        <f>Summary3[[#This Row],[total_risk_M03]]-Summary3[[#This Row],[total_risk_M02]]</f>
        <v>0.5</v>
      </c>
      <c r="G143" t="str">
        <f>_xlfn.XLOOKUP(Summary3[[#This Row],[loan_id]],[1]!Loans[loan_id],[1]!Loans[loan_size_band])</f>
        <v>Large</v>
      </c>
    </row>
    <row r="144" spans="1:7" x14ac:dyDescent="0.25">
      <c r="A144" t="s">
        <v>172</v>
      </c>
      <c r="B144">
        <f>IF([1]!Repayment3[[#This Row],[payment_status]]="Full",0,IF([1]!Repayment3[[#This Row],[payment_status]]="Partial",0.5,1))</f>
        <v>0.5</v>
      </c>
      <c r="C144">
        <f>_xlfn.XLOOKUP(Summary3[[#This Row],[loan_id]],[1]!Loans[loan_id],[1]!Loans[structural_risk])</f>
        <v>0.8</v>
      </c>
      <c r="D144">
        <f>Summary3[[#This Row],[risk_weight]]+Summary3[[#This Row],[stuctural_risk]]</f>
        <v>1.3</v>
      </c>
      <c r="E144">
        <f>_xlfn.XLOOKUP(Summary3[[#This Row],[loan_id]],[1]!Risk2[loan_id],[1]!Risk2[total_risk])</f>
        <v>0.8</v>
      </c>
      <c r="F144" s="2">
        <f>Summary3[[#This Row],[total_risk_M03]]-Summary3[[#This Row],[total_risk_M02]]</f>
        <v>0.5</v>
      </c>
      <c r="G144" t="str">
        <f>_xlfn.XLOOKUP(Summary3[[#This Row],[loan_id]],[1]!Loans[loan_id],[1]!Loans[loan_size_band])</f>
        <v>Large</v>
      </c>
    </row>
    <row r="145" spans="1:7" x14ac:dyDescent="0.25">
      <c r="A145" t="s">
        <v>174</v>
      </c>
      <c r="B145">
        <f>IF([1]!Repayment3[[#This Row],[payment_status]]="Full",0,IF([1]!Repayment3[[#This Row],[payment_status]]="Partial",0.5,1))</f>
        <v>0.5</v>
      </c>
      <c r="C145">
        <f>_xlfn.XLOOKUP(Summary3[[#This Row],[loan_id]],[1]!Loans[loan_id],[1]!Loans[structural_risk])</f>
        <v>0.8</v>
      </c>
      <c r="D145">
        <f>Summary3[[#This Row],[risk_weight]]+Summary3[[#This Row],[stuctural_risk]]</f>
        <v>1.3</v>
      </c>
      <c r="E145">
        <f>_xlfn.XLOOKUP(Summary3[[#This Row],[loan_id]],[1]!Risk2[loan_id],[1]!Risk2[total_risk])</f>
        <v>0.8</v>
      </c>
      <c r="F145" s="2">
        <f>Summary3[[#This Row],[total_risk_M03]]-Summary3[[#This Row],[total_risk_M02]]</f>
        <v>0.5</v>
      </c>
      <c r="G145" t="str">
        <f>_xlfn.XLOOKUP(Summary3[[#This Row],[loan_id]],[1]!Loans[loan_id],[1]!Loans[loan_size_band])</f>
        <v>Large</v>
      </c>
    </row>
    <row r="146" spans="1:7" x14ac:dyDescent="0.25">
      <c r="A146" t="s">
        <v>176</v>
      </c>
      <c r="B146">
        <f>IF([1]!Repayment3[[#This Row],[payment_status]]="Full",0,IF([1]!Repayment3[[#This Row],[payment_status]]="Partial",0.5,1))</f>
        <v>0.5</v>
      </c>
      <c r="C146">
        <f>_xlfn.XLOOKUP(Summary3[[#This Row],[loan_id]],[1]!Loans[loan_id],[1]!Loans[structural_risk])</f>
        <v>0.8</v>
      </c>
      <c r="D146">
        <f>Summary3[[#This Row],[risk_weight]]+Summary3[[#This Row],[stuctural_risk]]</f>
        <v>1.3</v>
      </c>
      <c r="E146">
        <f>_xlfn.XLOOKUP(Summary3[[#This Row],[loan_id]],[1]!Risk2[loan_id],[1]!Risk2[total_risk])</f>
        <v>0.8</v>
      </c>
      <c r="F146" s="2">
        <f>Summary3[[#This Row],[total_risk_M03]]-Summary3[[#This Row],[total_risk_M02]]</f>
        <v>0.5</v>
      </c>
      <c r="G146" t="str">
        <f>_xlfn.XLOOKUP(Summary3[[#This Row],[loan_id]],[1]!Loans[loan_id],[1]!Loans[loan_size_band])</f>
        <v>Large</v>
      </c>
    </row>
    <row r="147" spans="1:7" x14ac:dyDescent="0.25">
      <c r="A147" t="s">
        <v>178</v>
      </c>
      <c r="B147">
        <f>IF([1]!Repayment3[[#This Row],[payment_status]]="Full",0,IF([1]!Repayment3[[#This Row],[payment_status]]="Partial",0.5,1))</f>
        <v>0.5</v>
      </c>
      <c r="C147">
        <f>_xlfn.XLOOKUP(Summary3[[#This Row],[loan_id]],[1]!Loans[loan_id],[1]!Loans[structural_risk])</f>
        <v>0.8</v>
      </c>
      <c r="D147">
        <f>Summary3[[#This Row],[risk_weight]]+Summary3[[#This Row],[stuctural_risk]]</f>
        <v>1.3</v>
      </c>
      <c r="E147">
        <f>_xlfn.XLOOKUP(Summary3[[#This Row],[loan_id]],[1]!Risk2[loan_id],[1]!Risk2[total_risk])</f>
        <v>0.8</v>
      </c>
      <c r="F147" s="2">
        <f>Summary3[[#This Row],[total_risk_M03]]-Summary3[[#This Row],[total_risk_M02]]</f>
        <v>0.5</v>
      </c>
      <c r="G147" t="str">
        <f>_xlfn.XLOOKUP(Summary3[[#This Row],[loan_id]],[1]!Loans[loan_id],[1]!Loans[loan_size_band])</f>
        <v>Large</v>
      </c>
    </row>
    <row r="148" spans="1:7" x14ac:dyDescent="0.25">
      <c r="A148" t="s">
        <v>180</v>
      </c>
      <c r="B148">
        <f>IF([1]!Repayment3[[#This Row],[payment_status]]="Full",0,IF([1]!Repayment3[[#This Row],[payment_status]]="Partial",0.5,1))</f>
        <v>0.5</v>
      </c>
      <c r="C148">
        <f>_xlfn.XLOOKUP(Summary3[[#This Row],[loan_id]],[1]!Loans[loan_id],[1]!Loans[structural_risk])</f>
        <v>0.8</v>
      </c>
      <c r="D148">
        <f>Summary3[[#This Row],[risk_weight]]+Summary3[[#This Row],[stuctural_risk]]</f>
        <v>1.3</v>
      </c>
      <c r="E148">
        <f>_xlfn.XLOOKUP(Summary3[[#This Row],[loan_id]],[1]!Risk2[loan_id],[1]!Risk2[total_risk])</f>
        <v>0.8</v>
      </c>
      <c r="F148" s="2">
        <f>Summary3[[#This Row],[total_risk_M03]]-Summary3[[#This Row],[total_risk_M02]]</f>
        <v>0.5</v>
      </c>
      <c r="G148" t="str">
        <f>_xlfn.XLOOKUP(Summary3[[#This Row],[loan_id]],[1]!Loans[loan_id],[1]!Loans[loan_size_band])</f>
        <v>Large</v>
      </c>
    </row>
    <row r="149" spans="1:7" x14ac:dyDescent="0.25">
      <c r="A149" t="s">
        <v>184</v>
      </c>
      <c r="B149">
        <f>IF([1]!Repayment3[[#This Row],[payment_status]]="Full",0,IF([1]!Repayment3[[#This Row],[payment_status]]="Partial",0.5,1))</f>
        <v>0.5</v>
      </c>
      <c r="C149">
        <f>_xlfn.XLOOKUP(Summary3[[#This Row],[loan_id]],[1]!Loans[loan_id],[1]!Loans[structural_risk])</f>
        <v>0.8</v>
      </c>
      <c r="D149">
        <f>Summary3[[#This Row],[risk_weight]]+Summary3[[#This Row],[stuctural_risk]]</f>
        <v>1.3</v>
      </c>
      <c r="E149">
        <f>_xlfn.XLOOKUP(Summary3[[#This Row],[loan_id]],[1]!Risk2[loan_id],[1]!Risk2[total_risk])</f>
        <v>0.8</v>
      </c>
      <c r="F149" s="2">
        <f>Summary3[[#This Row],[total_risk_M03]]-Summary3[[#This Row],[total_risk_M02]]</f>
        <v>0.5</v>
      </c>
      <c r="G149" t="str">
        <f>_xlfn.XLOOKUP(Summary3[[#This Row],[loan_id]],[1]!Loans[loan_id],[1]!Loans[loan_size_band])</f>
        <v>Large</v>
      </c>
    </row>
    <row r="150" spans="1:7" x14ac:dyDescent="0.25">
      <c r="A150" t="s">
        <v>186</v>
      </c>
      <c r="B150">
        <f>IF([1]!Repayment3[[#This Row],[payment_status]]="Full",0,IF([1]!Repayment3[[#This Row],[payment_status]]="Partial",0.5,1))</f>
        <v>0.5</v>
      </c>
      <c r="C150">
        <f>_xlfn.XLOOKUP(Summary3[[#This Row],[loan_id]],[1]!Loans[loan_id],[1]!Loans[structural_risk])</f>
        <v>0.8</v>
      </c>
      <c r="D150">
        <f>Summary3[[#This Row],[risk_weight]]+Summary3[[#This Row],[stuctural_risk]]</f>
        <v>1.3</v>
      </c>
      <c r="E150">
        <f>_xlfn.XLOOKUP(Summary3[[#This Row],[loan_id]],[1]!Risk2[loan_id],[1]!Risk2[total_risk])</f>
        <v>0.8</v>
      </c>
      <c r="F150" s="2">
        <f>Summary3[[#This Row],[total_risk_M03]]-Summary3[[#This Row],[total_risk_M02]]</f>
        <v>0.5</v>
      </c>
      <c r="G150" t="str">
        <f>_xlfn.XLOOKUP(Summary3[[#This Row],[loan_id]],[1]!Loans[loan_id],[1]!Loans[loan_size_band])</f>
        <v>Large</v>
      </c>
    </row>
    <row r="151" spans="1:7" x14ac:dyDescent="0.25">
      <c r="A151" t="s">
        <v>188</v>
      </c>
      <c r="B151">
        <f>IF([1]!Repayment3[[#This Row],[payment_status]]="Full",0,IF([1]!Repayment3[[#This Row],[payment_status]]="Partial",0.5,1))</f>
        <v>0.5</v>
      </c>
      <c r="C151">
        <f>_xlfn.XLOOKUP(Summary3[[#This Row],[loan_id]],[1]!Loans[loan_id],[1]!Loans[structural_risk])</f>
        <v>0.8</v>
      </c>
      <c r="D151">
        <f>Summary3[[#This Row],[risk_weight]]+Summary3[[#This Row],[stuctural_risk]]</f>
        <v>1.3</v>
      </c>
      <c r="E151">
        <f>_xlfn.XLOOKUP(Summary3[[#This Row],[loan_id]],[1]!Risk2[loan_id],[1]!Risk2[total_risk])</f>
        <v>0.8</v>
      </c>
      <c r="F151" s="2">
        <f>Summary3[[#This Row],[total_risk_M03]]-Summary3[[#This Row],[total_risk_M02]]</f>
        <v>0.5</v>
      </c>
      <c r="G151" t="str">
        <f>_xlfn.XLOOKUP(Summary3[[#This Row],[loan_id]],[1]!Loans[loan_id],[1]!Loans[loan_size_band])</f>
        <v>Large</v>
      </c>
    </row>
    <row r="152" spans="1:7" x14ac:dyDescent="0.25">
      <c r="A152" t="s">
        <v>190</v>
      </c>
      <c r="B152">
        <f>IF([1]!Repayment3[[#This Row],[payment_status]]="Full",0,IF([1]!Repayment3[[#This Row],[payment_status]]="Partial",0.5,1))</f>
        <v>0.5</v>
      </c>
      <c r="C152">
        <f>_xlfn.XLOOKUP(Summary3[[#This Row],[loan_id]],[1]!Loans[loan_id],[1]!Loans[structural_risk])</f>
        <v>0.8</v>
      </c>
      <c r="D152">
        <f>Summary3[[#This Row],[risk_weight]]+Summary3[[#This Row],[stuctural_risk]]</f>
        <v>1.3</v>
      </c>
      <c r="E152">
        <f>_xlfn.XLOOKUP(Summary3[[#This Row],[loan_id]],[1]!Risk2[loan_id],[1]!Risk2[total_risk])</f>
        <v>0.8</v>
      </c>
      <c r="F152" s="2">
        <f>Summary3[[#This Row],[total_risk_M03]]-Summary3[[#This Row],[total_risk_M02]]</f>
        <v>0.5</v>
      </c>
      <c r="G152" t="str">
        <f>_xlfn.XLOOKUP(Summary3[[#This Row],[loan_id]],[1]!Loans[loan_id],[1]!Loans[loan_size_band])</f>
        <v>Large</v>
      </c>
    </row>
    <row r="153" spans="1:7" x14ac:dyDescent="0.25">
      <c r="A153" t="s">
        <v>192</v>
      </c>
      <c r="B153">
        <f>IF([1]!Repayment3[[#This Row],[payment_status]]="Full",0,IF([1]!Repayment3[[#This Row],[payment_status]]="Partial",0.5,1))</f>
        <v>0.5</v>
      </c>
      <c r="C153">
        <f>_xlfn.XLOOKUP(Summary3[[#This Row],[loan_id]],[1]!Loans[loan_id],[1]!Loans[structural_risk])</f>
        <v>0.8</v>
      </c>
      <c r="D153">
        <f>Summary3[[#This Row],[risk_weight]]+Summary3[[#This Row],[stuctural_risk]]</f>
        <v>1.3</v>
      </c>
      <c r="E153">
        <f>_xlfn.XLOOKUP(Summary3[[#This Row],[loan_id]],[1]!Risk2[loan_id],[1]!Risk2[total_risk])</f>
        <v>0.8</v>
      </c>
      <c r="F153" s="2">
        <f>Summary3[[#This Row],[total_risk_M03]]-Summary3[[#This Row],[total_risk_M02]]</f>
        <v>0.5</v>
      </c>
      <c r="G153" t="str">
        <f>_xlfn.XLOOKUP(Summary3[[#This Row],[loan_id]],[1]!Loans[loan_id],[1]!Loans[loan_size_band])</f>
        <v>Large</v>
      </c>
    </row>
    <row r="154" spans="1:7" x14ac:dyDescent="0.25">
      <c r="A154" t="s">
        <v>273</v>
      </c>
      <c r="B154">
        <f>IF([1]!Repayment3[[#This Row],[payment_status]]="Full",0,IF([1]!Repayment3[[#This Row],[payment_status]]="Partial",0.5,1))</f>
        <v>0.5</v>
      </c>
      <c r="C154">
        <f>_xlfn.XLOOKUP(Summary3[[#This Row],[loan_id]],[1]!Loans[loan_id],[1]!Loans[structural_risk])</f>
        <v>0.8</v>
      </c>
      <c r="D154">
        <f>Summary3[[#This Row],[risk_weight]]+Summary3[[#This Row],[stuctural_risk]]</f>
        <v>1.3</v>
      </c>
      <c r="E154">
        <f>_xlfn.XLOOKUP(Summary3[[#This Row],[loan_id]],[1]!Risk2[loan_id],[1]!Risk2[total_risk])</f>
        <v>1.3</v>
      </c>
      <c r="F154" s="2">
        <f>Summary3[[#This Row],[total_risk_M03]]-Summary3[[#This Row],[total_risk_M02]]</f>
        <v>0</v>
      </c>
      <c r="G154" t="str">
        <f>_xlfn.XLOOKUP(Summary3[[#This Row],[loan_id]],[1]!Loans[loan_id],[1]!Loans[loan_size_band])</f>
        <v>Large</v>
      </c>
    </row>
    <row r="155" spans="1:7" x14ac:dyDescent="0.25">
      <c r="A155" t="s">
        <v>275</v>
      </c>
      <c r="B155">
        <f>IF([1]!Repayment3[[#This Row],[payment_status]]="Full",0,IF([1]!Repayment3[[#This Row],[payment_status]]="Partial",0.5,1))</f>
        <v>0.5</v>
      </c>
      <c r="C155">
        <f>_xlfn.XLOOKUP(Summary3[[#This Row],[loan_id]],[1]!Loans[loan_id],[1]!Loans[structural_risk])</f>
        <v>0.8</v>
      </c>
      <c r="D155">
        <f>Summary3[[#This Row],[risk_weight]]+Summary3[[#This Row],[stuctural_risk]]</f>
        <v>1.3</v>
      </c>
      <c r="E155">
        <f>_xlfn.XLOOKUP(Summary3[[#This Row],[loan_id]],[1]!Risk2[loan_id],[1]!Risk2[total_risk])</f>
        <v>1.3</v>
      </c>
      <c r="F155" s="2">
        <f>Summary3[[#This Row],[total_risk_M03]]-Summary3[[#This Row],[total_risk_M02]]</f>
        <v>0</v>
      </c>
      <c r="G155" t="str">
        <f>_xlfn.XLOOKUP(Summary3[[#This Row],[loan_id]],[1]!Loans[loan_id],[1]!Loans[loan_size_band])</f>
        <v>Large</v>
      </c>
    </row>
    <row r="156" spans="1:7" x14ac:dyDescent="0.25">
      <c r="A156" t="s">
        <v>277</v>
      </c>
      <c r="B156">
        <f>IF([1]!Repayment3[[#This Row],[payment_status]]="Full",0,IF([1]!Repayment3[[#This Row],[payment_status]]="Partial",0.5,1))</f>
        <v>0.5</v>
      </c>
      <c r="C156">
        <f>_xlfn.XLOOKUP(Summary3[[#This Row],[loan_id]],[1]!Loans[loan_id],[1]!Loans[structural_risk])</f>
        <v>0.8</v>
      </c>
      <c r="D156">
        <f>Summary3[[#This Row],[risk_weight]]+Summary3[[#This Row],[stuctural_risk]]</f>
        <v>1.3</v>
      </c>
      <c r="E156">
        <f>_xlfn.XLOOKUP(Summary3[[#This Row],[loan_id]],[1]!Risk2[loan_id],[1]!Risk2[total_risk])</f>
        <v>1.3</v>
      </c>
      <c r="F156" s="2">
        <f>Summary3[[#This Row],[total_risk_M03]]-Summary3[[#This Row],[total_risk_M02]]</f>
        <v>0</v>
      </c>
      <c r="G156" t="str">
        <f>_xlfn.XLOOKUP(Summary3[[#This Row],[loan_id]],[1]!Loans[loan_id],[1]!Loans[loan_size_band])</f>
        <v>Large</v>
      </c>
    </row>
    <row r="157" spans="1:7" x14ac:dyDescent="0.25">
      <c r="A157" t="s">
        <v>279</v>
      </c>
      <c r="B157">
        <f>IF([1]!Repayment3[[#This Row],[payment_status]]="Full",0,IF([1]!Repayment3[[#This Row],[payment_status]]="Partial",0.5,1))</f>
        <v>0.5</v>
      </c>
      <c r="C157">
        <f>_xlfn.XLOOKUP(Summary3[[#This Row],[loan_id]],[1]!Loans[loan_id],[1]!Loans[structural_risk])</f>
        <v>0.8</v>
      </c>
      <c r="D157">
        <f>Summary3[[#This Row],[risk_weight]]+Summary3[[#This Row],[stuctural_risk]]</f>
        <v>1.3</v>
      </c>
      <c r="E157">
        <f>_xlfn.XLOOKUP(Summary3[[#This Row],[loan_id]],[1]!Risk2[loan_id],[1]!Risk2[total_risk])</f>
        <v>1.3</v>
      </c>
      <c r="F157" s="2">
        <f>Summary3[[#This Row],[total_risk_M03]]-Summary3[[#This Row],[total_risk_M02]]</f>
        <v>0</v>
      </c>
      <c r="G157" t="str">
        <f>_xlfn.XLOOKUP(Summary3[[#This Row],[loan_id]],[1]!Loans[loan_id],[1]!Loans[loan_size_band])</f>
        <v>Large</v>
      </c>
    </row>
    <row r="158" spans="1:7" x14ac:dyDescent="0.25">
      <c r="A158" t="s">
        <v>281</v>
      </c>
      <c r="B158">
        <f>IF([1]!Repayment3[[#This Row],[payment_status]]="Full",0,IF([1]!Repayment3[[#This Row],[payment_status]]="Partial",0.5,1))</f>
        <v>0.5</v>
      </c>
      <c r="C158">
        <f>_xlfn.XLOOKUP(Summary3[[#This Row],[loan_id]],[1]!Loans[loan_id],[1]!Loans[structural_risk])</f>
        <v>0.8</v>
      </c>
      <c r="D158">
        <f>Summary3[[#This Row],[risk_weight]]+Summary3[[#This Row],[stuctural_risk]]</f>
        <v>1.3</v>
      </c>
      <c r="E158">
        <f>_xlfn.XLOOKUP(Summary3[[#This Row],[loan_id]],[1]!Risk2[loan_id],[1]!Risk2[total_risk])</f>
        <v>1.3</v>
      </c>
      <c r="F158" s="2">
        <f>Summary3[[#This Row],[total_risk_M03]]-Summary3[[#This Row],[total_risk_M02]]</f>
        <v>0</v>
      </c>
      <c r="G158" t="str">
        <f>_xlfn.XLOOKUP(Summary3[[#This Row],[loan_id]],[1]!Loans[loan_id],[1]!Loans[loan_size_band])</f>
        <v>Large</v>
      </c>
    </row>
    <row r="159" spans="1:7" x14ac:dyDescent="0.25">
      <c r="A159" t="s">
        <v>283</v>
      </c>
      <c r="B159">
        <f>IF([1]!Repayment3[[#This Row],[payment_status]]="Full",0,IF([1]!Repayment3[[#This Row],[payment_status]]="Partial",0.5,1))</f>
        <v>0.5</v>
      </c>
      <c r="C159">
        <f>_xlfn.XLOOKUP(Summary3[[#This Row],[loan_id]],[1]!Loans[loan_id],[1]!Loans[structural_risk])</f>
        <v>0.8</v>
      </c>
      <c r="D159">
        <f>Summary3[[#This Row],[risk_weight]]+Summary3[[#This Row],[stuctural_risk]]</f>
        <v>1.3</v>
      </c>
      <c r="E159">
        <f>_xlfn.XLOOKUP(Summary3[[#This Row],[loan_id]],[1]!Risk2[loan_id],[1]!Risk2[total_risk])</f>
        <v>1.3</v>
      </c>
      <c r="F159" s="2">
        <f>Summary3[[#This Row],[total_risk_M03]]-Summary3[[#This Row],[total_risk_M02]]</f>
        <v>0</v>
      </c>
      <c r="G159" t="str">
        <f>_xlfn.XLOOKUP(Summary3[[#This Row],[loan_id]],[1]!Loans[loan_id],[1]!Loans[loan_size_band])</f>
        <v>Large</v>
      </c>
    </row>
    <row r="160" spans="1:7" x14ac:dyDescent="0.25">
      <c r="A160" t="s">
        <v>285</v>
      </c>
      <c r="B160">
        <f>IF([1]!Repayment3[[#This Row],[payment_status]]="Full",0,IF([1]!Repayment3[[#This Row],[payment_status]]="Partial",0.5,1))</f>
        <v>0.5</v>
      </c>
      <c r="C160">
        <f>_xlfn.XLOOKUP(Summary3[[#This Row],[loan_id]],[1]!Loans[loan_id],[1]!Loans[structural_risk])</f>
        <v>0.8</v>
      </c>
      <c r="D160">
        <f>Summary3[[#This Row],[risk_weight]]+Summary3[[#This Row],[stuctural_risk]]</f>
        <v>1.3</v>
      </c>
      <c r="E160">
        <f>_xlfn.XLOOKUP(Summary3[[#This Row],[loan_id]],[1]!Risk2[loan_id],[1]!Risk2[total_risk])</f>
        <v>1.3</v>
      </c>
      <c r="F160" s="2">
        <f>Summary3[[#This Row],[total_risk_M03]]-Summary3[[#This Row],[total_risk_M02]]</f>
        <v>0</v>
      </c>
      <c r="G160" t="str">
        <f>_xlfn.XLOOKUP(Summary3[[#This Row],[loan_id]],[1]!Loans[loan_id],[1]!Loans[loan_size_band])</f>
        <v>Large</v>
      </c>
    </row>
    <row r="161" spans="1:7" x14ac:dyDescent="0.25">
      <c r="A161" t="s">
        <v>287</v>
      </c>
      <c r="B161">
        <f>IF([1]!Repayment3[[#This Row],[payment_status]]="Full",0,IF([1]!Repayment3[[#This Row],[payment_status]]="Partial",0.5,1))</f>
        <v>0.5</v>
      </c>
      <c r="C161">
        <f>_xlfn.XLOOKUP(Summary3[[#This Row],[loan_id]],[1]!Loans[loan_id],[1]!Loans[structural_risk])</f>
        <v>0.8</v>
      </c>
      <c r="D161">
        <f>Summary3[[#This Row],[risk_weight]]+Summary3[[#This Row],[stuctural_risk]]</f>
        <v>1.3</v>
      </c>
      <c r="E161">
        <f>_xlfn.XLOOKUP(Summary3[[#This Row],[loan_id]],[1]!Risk2[loan_id],[1]!Risk2[total_risk])</f>
        <v>1.3</v>
      </c>
      <c r="F161" s="2">
        <f>Summary3[[#This Row],[total_risk_M03]]-Summary3[[#This Row],[total_risk_M02]]</f>
        <v>0</v>
      </c>
      <c r="G161" t="str">
        <f>_xlfn.XLOOKUP(Summary3[[#This Row],[loan_id]],[1]!Loans[loan_id],[1]!Loans[loan_size_band])</f>
        <v>Large</v>
      </c>
    </row>
    <row r="162" spans="1:7" x14ac:dyDescent="0.25">
      <c r="A162" t="s">
        <v>289</v>
      </c>
      <c r="B162">
        <f>IF([1]!Repayment3[[#This Row],[payment_status]]="Full",0,IF([1]!Repayment3[[#This Row],[payment_status]]="Partial",0.5,1))</f>
        <v>0.5</v>
      </c>
      <c r="C162">
        <f>_xlfn.XLOOKUP(Summary3[[#This Row],[loan_id]],[1]!Loans[loan_id],[1]!Loans[structural_risk])</f>
        <v>0.8</v>
      </c>
      <c r="D162">
        <f>Summary3[[#This Row],[risk_weight]]+Summary3[[#This Row],[stuctural_risk]]</f>
        <v>1.3</v>
      </c>
      <c r="E162">
        <f>_xlfn.XLOOKUP(Summary3[[#This Row],[loan_id]],[1]!Risk2[loan_id],[1]!Risk2[total_risk])</f>
        <v>1.3</v>
      </c>
      <c r="F162" s="2">
        <f>Summary3[[#This Row],[total_risk_M03]]-Summary3[[#This Row],[total_risk_M02]]</f>
        <v>0</v>
      </c>
      <c r="G162" t="str">
        <f>_xlfn.XLOOKUP(Summary3[[#This Row],[loan_id]],[1]!Loans[loan_id],[1]!Loans[loan_size_band])</f>
        <v>Large</v>
      </c>
    </row>
    <row r="163" spans="1:7" x14ac:dyDescent="0.25">
      <c r="A163" t="s">
        <v>291</v>
      </c>
      <c r="B163">
        <f>IF([1]!Repayment3[[#This Row],[payment_status]]="Full",0,IF([1]!Repayment3[[#This Row],[payment_status]]="Partial",0.5,1))</f>
        <v>0.5</v>
      </c>
      <c r="C163">
        <f>_xlfn.XLOOKUP(Summary3[[#This Row],[loan_id]],[1]!Loans[loan_id],[1]!Loans[structural_risk])</f>
        <v>0.8</v>
      </c>
      <c r="D163">
        <f>Summary3[[#This Row],[risk_weight]]+Summary3[[#This Row],[stuctural_risk]]</f>
        <v>1.3</v>
      </c>
      <c r="E163">
        <f>_xlfn.XLOOKUP(Summary3[[#This Row],[loan_id]],[1]!Risk2[loan_id],[1]!Risk2[total_risk])</f>
        <v>1.3</v>
      </c>
      <c r="F163" s="2">
        <f>Summary3[[#This Row],[total_risk_M03]]-Summary3[[#This Row],[total_risk_M02]]</f>
        <v>0</v>
      </c>
      <c r="G163" t="str">
        <f>_xlfn.XLOOKUP(Summary3[[#This Row],[loan_id]],[1]!Loans[loan_id],[1]!Loans[loan_size_band])</f>
        <v>Large</v>
      </c>
    </row>
    <row r="164" spans="1:7" x14ac:dyDescent="0.25">
      <c r="A164" t="s">
        <v>374</v>
      </c>
      <c r="B164">
        <f>IF([1]!Repayment3[[#This Row],[payment_status]]="Full",0,IF([1]!Repayment3[[#This Row],[payment_status]]="Partial",0.5,1))</f>
        <v>1</v>
      </c>
      <c r="C164">
        <f>_xlfn.XLOOKUP(Summary3[[#This Row],[loan_id]],[1]!Loans[loan_id],[1]!Loans[structural_risk])</f>
        <v>0.5</v>
      </c>
      <c r="D164">
        <f>Summary3[[#This Row],[risk_weight]]+Summary3[[#This Row],[stuctural_risk]]</f>
        <v>1.5</v>
      </c>
      <c r="E164">
        <f>_xlfn.XLOOKUP(Summary3[[#This Row],[loan_id]],[1]!Risk2[loan_id],[1]!Risk2[total_risk])</f>
        <v>1.5</v>
      </c>
      <c r="F164" s="2">
        <f>Summary3[[#This Row],[total_risk_M03]]-Summary3[[#This Row],[total_risk_M02]]</f>
        <v>0</v>
      </c>
      <c r="G164" t="str">
        <f>_xlfn.XLOOKUP(Summary3[[#This Row],[loan_id]],[1]!Loans[loan_id],[1]!Loans[loan_size_band])</f>
        <v>Medium</v>
      </c>
    </row>
    <row r="165" spans="1:7" x14ac:dyDescent="0.25">
      <c r="A165" t="s">
        <v>402</v>
      </c>
      <c r="B165">
        <f>IF([1]!Repayment3[[#This Row],[payment_status]]="Full",0,IF([1]!Repayment3[[#This Row],[payment_status]]="Partial",0.5,1))</f>
        <v>1</v>
      </c>
      <c r="C165">
        <f>_xlfn.XLOOKUP(Summary3[[#This Row],[loan_id]],[1]!Loans[loan_id],[1]!Loans[structural_risk])</f>
        <v>0.5</v>
      </c>
      <c r="D165">
        <f>Summary3[[#This Row],[risk_weight]]+Summary3[[#This Row],[stuctural_risk]]</f>
        <v>1.5</v>
      </c>
      <c r="E165">
        <f>_xlfn.XLOOKUP(Summary3[[#This Row],[loan_id]],[1]!Risk2[loan_id],[1]!Risk2[total_risk])</f>
        <v>1.5</v>
      </c>
      <c r="F165" s="2">
        <f>Summary3[[#This Row],[total_risk_M03]]-Summary3[[#This Row],[total_risk_M02]]</f>
        <v>0</v>
      </c>
      <c r="G165" t="str">
        <f>_xlfn.XLOOKUP(Summary3[[#This Row],[loan_id]],[1]!Loans[loan_id],[1]!Loans[loan_size_band])</f>
        <v>Medium</v>
      </c>
    </row>
    <row r="166" spans="1:7" x14ac:dyDescent="0.25">
      <c r="A166" t="s">
        <v>372</v>
      </c>
      <c r="B166">
        <f>IF([1]!Repayment3[[#This Row],[payment_status]]="Full",0,IF([1]!Repayment3[[#This Row],[payment_status]]="Partial",0.5,1))</f>
        <v>1</v>
      </c>
      <c r="C166">
        <f>_xlfn.XLOOKUP(Summary3[[#This Row],[loan_id]],[1]!Loans[loan_id],[1]!Loans[structural_risk])</f>
        <v>0.8</v>
      </c>
      <c r="D166">
        <f>Summary3[[#This Row],[risk_weight]]+Summary3[[#This Row],[stuctural_risk]]</f>
        <v>1.8</v>
      </c>
      <c r="E166">
        <f>_xlfn.XLOOKUP(Summary3[[#This Row],[loan_id]],[1]!Risk2[loan_id],[1]!Risk2[total_risk])</f>
        <v>1.8</v>
      </c>
      <c r="F166" s="2">
        <f>Summary3[[#This Row],[total_risk_M03]]-Summary3[[#This Row],[total_risk_M02]]</f>
        <v>0</v>
      </c>
      <c r="G166" t="str">
        <f>_xlfn.XLOOKUP(Summary3[[#This Row],[loan_id]],[1]!Loans[loan_id],[1]!Loans[loan_size_band])</f>
        <v>Large</v>
      </c>
    </row>
    <row r="167" spans="1:7" x14ac:dyDescent="0.25">
      <c r="A167" t="s">
        <v>376</v>
      </c>
      <c r="B167">
        <f>IF([1]!Repayment3[[#This Row],[payment_status]]="Full",0,IF([1]!Repayment3[[#This Row],[payment_status]]="Partial",0.5,1))</f>
        <v>1</v>
      </c>
      <c r="C167">
        <f>_xlfn.XLOOKUP(Summary3[[#This Row],[loan_id]],[1]!Loans[loan_id],[1]!Loans[structural_risk])</f>
        <v>0.8</v>
      </c>
      <c r="D167">
        <f>Summary3[[#This Row],[risk_weight]]+Summary3[[#This Row],[stuctural_risk]]</f>
        <v>1.8</v>
      </c>
      <c r="E167">
        <f>_xlfn.XLOOKUP(Summary3[[#This Row],[loan_id]],[1]!Risk2[loan_id],[1]!Risk2[total_risk])</f>
        <v>1.8</v>
      </c>
      <c r="F167" s="2">
        <f>Summary3[[#This Row],[total_risk_M03]]-Summary3[[#This Row],[total_risk_M02]]</f>
        <v>0</v>
      </c>
      <c r="G167" t="str">
        <f>_xlfn.XLOOKUP(Summary3[[#This Row],[loan_id]],[1]!Loans[loan_id],[1]!Loans[loan_size_band])</f>
        <v>Large</v>
      </c>
    </row>
    <row r="168" spans="1:7" x14ac:dyDescent="0.25">
      <c r="A168" t="s">
        <v>378</v>
      </c>
      <c r="B168">
        <f>IF([1]!Repayment3[[#This Row],[payment_status]]="Full",0,IF([1]!Repayment3[[#This Row],[payment_status]]="Partial",0.5,1))</f>
        <v>1</v>
      </c>
      <c r="C168">
        <f>_xlfn.XLOOKUP(Summary3[[#This Row],[loan_id]],[1]!Loans[loan_id],[1]!Loans[structural_risk])</f>
        <v>0.8</v>
      </c>
      <c r="D168">
        <f>Summary3[[#This Row],[risk_weight]]+Summary3[[#This Row],[stuctural_risk]]</f>
        <v>1.8</v>
      </c>
      <c r="E168">
        <f>_xlfn.XLOOKUP(Summary3[[#This Row],[loan_id]],[1]!Risk2[loan_id],[1]!Risk2[total_risk])</f>
        <v>1.8</v>
      </c>
      <c r="F168" s="2">
        <f>Summary3[[#This Row],[total_risk_M03]]-Summary3[[#This Row],[total_risk_M02]]</f>
        <v>0</v>
      </c>
      <c r="G168" t="str">
        <f>_xlfn.XLOOKUP(Summary3[[#This Row],[loan_id]],[1]!Loans[loan_id],[1]!Loans[loan_size_band])</f>
        <v>Large</v>
      </c>
    </row>
    <row r="169" spans="1:7" x14ac:dyDescent="0.25">
      <c r="A169" t="s">
        <v>380</v>
      </c>
      <c r="B169">
        <f>IF([1]!Repayment3[[#This Row],[payment_status]]="Full",0,IF([1]!Repayment3[[#This Row],[payment_status]]="Partial",0.5,1))</f>
        <v>1</v>
      </c>
      <c r="C169">
        <f>_xlfn.XLOOKUP(Summary3[[#This Row],[loan_id]],[1]!Loans[loan_id],[1]!Loans[structural_risk])</f>
        <v>0.8</v>
      </c>
      <c r="D169">
        <f>Summary3[[#This Row],[risk_weight]]+Summary3[[#This Row],[stuctural_risk]]</f>
        <v>1.8</v>
      </c>
      <c r="E169">
        <f>_xlfn.XLOOKUP(Summary3[[#This Row],[loan_id]],[1]!Risk2[loan_id],[1]!Risk2[total_risk])</f>
        <v>1.8</v>
      </c>
      <c r="F169" s="2">
        <f>Summary3[[#This Row],[total_risk_M03]]-Summary3[[#This Row],[total_risk_M02]]</f>
        <v>0</v>
      </c>
      <c r="G169" t="str">
        <f>_xlfn.XLOOKUP(Summary3[[#This Row],[loan_id]],[1]!Loans[loan_id],[1]!Loans[loan_size_band])</f>
        <v>Large</v>
      </c>
    </row>
    <row r="170" spans="1:7" x14ac:dyDescent="0.25">
      <c r="A170" t="s">
        <v>382</v>
      </c>
      <c r="B170">
        <f>IF([1]!Repayment3[[#This Row],[payment_status]]="Full",0,IF([1]!Repayment3[[#This Row],[payment_status]]="Partial",0.5,1))</f>
        <v>1</v>
      </c>
      <c r="C170">
        <f>_xlfn.XLOOKUP(Summary3[[#This Row],[loan_id]],[1]!Loans[loan_id],[1]!Loans[structural_risk])</f>
        <v>0.8</v>
      </c>
      <c r="D170">
        <f>Summary3[[#This Row],[risk_weight]]+Summary3[[#This Row],[stuctural_risk]]</f>
        <v>1.8</v>
      </c>
      <c r="E170">
        <f>_xlfn.XLOOKUP(Summary3[[#This Row],[loan_id]],[1]!Risk2[loan_id],[1]!Risk2[total_risk])</f>
        <v>1.8</v>
      </c>
      <c r="F170" s="2">
        <f>Summary3[[#This Row],[total_risk_M03]]-Summary3[[#This Row],[total_risk_M02]]</f>
        <v>0</v>
      </c>
      <c r="G170" t="str">
        <f>_xlfn.XLOOKUP(Summary3[[#This Row],[loan_id]],[1]!Loans[loan_id],[1]!Loans[loan_size_band])</f>
        <v>Large</v>
      </c>
    </row>
    <row r="171" spans="1:7" x14ac:dyDescent="0.25">
      <c r="A171" t="s">
        <v>384</v>
      </c>
      <c r="B171">
        <f>IF([1]!Repayment3[[#This Row],[payment_status]]="Full",0,IF([1]!Repayment3[[#This Row],[payment_status]]="Partial",0.5,1))</f>
        <v>1</v>
      </c>
      <c r="C171">
        <f>_xlfn.XLOOKUP(Summary3[[#This Row],[loan_id]],[1]!Loans[loan_id],[1]!Loans[structural_risk])</f>
        <v>0.8</v>
      </c>
      <c r="D171">
        <f>Summary3[[#This Row],[risk_weight]]+Summary3[[#This Row],[stuctural_risk]]</f>
        <v>1.8</v>
      </c>
      <c r="E171">
        <f>_xlfn.XLOOKUP(Summary3[[#This Row],[loan_id]],[1]!Risk2[loan_id],[1]!Risk2[total_risk])</f>
        <v>1.8</v>
      </c>
      <c r="F171" s="2">
        <f>Summary3[[#This Row],[total_risk_M03]]-Summary3[[#This Row],[total_risk_M02]]</f>
        <v>0</v>
      </c>
      <c r="G171" t="str">
        <f>_xlfn.XLOOKUP(Summary3[[#This Row],[loan_id]],[1]!Loans[loan_id],[1]!Loans[loan_size_band])</f>
        <v>Large</v>
      </c>
    </row>
    <row r="172" spans="1:7" x14ac:dyDescent="0.25">
      <c r="A172" t="s">
        <v>386</v>
      </c>
      <c r="B172">
        <f>IF([1]!Repayment3[[#This Row],[payment_status]]="Full",0,IF([1]!Repayment3[[#This Row],[payment_status]]="Partial",0.5,1))</f>
        <v>1</v>
      </c>
      <c r="C172">
        <f>_xlfn.XLOOKUP(Summary3[[#This Row],[loan_id]],[1]!Loans[loan_id],[1]!Loans[structural_risk])</f>
        <v>0.8</v>
      </c>
      <c r="D172">
        <f>Summary3[[#This Row],[risk_weight]]+Summary3[[#This Row],[stuctural_risk]]</f>
        <v>1.8</v>
      </c>
      <c r="E172">
        <f>_xlfn.XLOOKUP(Summary3[[#This Row],[loan_id]],[1]!Risk2[loan_id],[1]!Risk2[total_risk])</f>
        <v>1.8</v>
      </c>
      <c r="F172" s="2">
        <f>Summary3[[#This Row],[total_risk_M03]]-Summary3[[#This Row],[total_risk_M02]]</f>
        <v>0</v>
      </c>
      <c r="G172" t="str">
        <f>_xlfn.XLOOKUP(Summary3[[#This Row],[loan_id]],[1]!Loans[loan_id],[1]!Loans[loan_size_band])</f>
        <v>Large</v>
      </c>
    </row>
    <row r="173" spans="1:7" x14ac:dyDescent="0.25">
      <c r="A173" t="s">
        <v>388</v>
      </c>
      <c r="B173">
        <f>IF([1]!Repayment3[[#This Row],[payment_status]]="Full",0,IF([1]!Repayment3[[#This Row],[payment_status]]="Partial",0.5,1))</f>
        <v>1</v>
      </c>
      <c r="C173">
        <f>_xlfn.XLOOKUP(Summary3[[#This Row],[loan_id]],[1]!Loans[loan_id],[1]!Loans[structural_risk])</f>
        <v>0.8</v>
      </c>
      <c r="D173">
        <f>Summary3[[#This Row],[risk_weight]]+Summary3[[#This Row],[stuctural_risk]]</f>
        <v>1.8</v>
      </c>
      <c r="E173">
        <f>_xlfn.XLOOKUP(Summary3[[#This Row],[loan_id]],[1]!Risk2[loan_id],[1]!Risk2[total_risk])</f>
        <v>1.8</v>
      </c>
      <c r="F173" s="2">
        <f>Summary3[[#This Row],[total_risk_M03]]-Summary3[[#This Row],[total_risk_M02]]</f>
        <v>0</v>
      </c>
      <c r="G173" t="str">
        <f>_xlfn.XLOOKUP(Summary3[[#This Row],[loan_id]],[1]!Loans[loan_id],[1]!Loans[loan_size_band])</f>
        <v>Large</v>
      </c>
    </row>
    <row r="174" spans="1:7" x14ac:dyDescent="0.25">
      <c r="A174" t="s">
        <v>390</v>
      </c>
      <c r="B174">
        <f>IF([1]!Repayment3[[#This Row],[payment_status]]="Full",0,IF([1]!Repayment3[[#This Row],[payment_status]]="Partial",0.5,1))</f>
        <v>1</v>
      </c>
      <c r="C174">
        <f>_xlfn.XLOOKUP(Summary3[[#This Row],[loan_id]],[1]!Loans[loan_id],[1]!Loans[structural_risk])</f>
        <v>0.8</v>
      </c>
      <c r="D174">
        <f>Summary3[[#This Row],[risk_weight]]+Summary3[[#This Row],[stuctural_risk]]</f>
        <v>1.8</v>
      </c>
      <c r="E174">
        <f>_xlfn.XLOOKUP(Summary3[[#This Row],[loan_id]],[1]!Risk2[loan_id],[1]!Risk2[total_risk])</f>
        <v>1.8</v>
      </c>
      <c r="F174" s="2">
        <f>Summary3[[#This Row],[total_risk_M03]]-Summary3[[#This Row],[total_risk_M02]]</f>
        <v>0</v>
      </c>
      <c r="G174" t="str">
        <f>_xlfn.XLOOKUP(Summary3[[#This Row],[loan_id]],[1]!Loans[loan_id],[1]!Loans[loan_size_band])</f>
        <v>Large</v>
      </c>
    </row>
    <row r="175" spans="1:7" x14ac:dyDescent="0.25">
      <c r="A175" t="s">
        <v>392</v>
      </c>
      <c r="B175">
        <f>IF([1]!Repayment3[[#This Row],[payment_status]]="Full",0,IF([1]!Repayment3[[#This Row],[payment_status]]="Partial",0.5,1))</f>
        <v>1</v>
      </c>
      <c r="C175">
        <f>_xlfn.XLOOKUP(Summary3[[#This Row],[loan_id]],[1]!Loans[loan_id],[1]!Loans[structural_risk])</f>
        <v>0.8</v>
      </c>
      <c r="D175">
        <f>Summary3[[#This Row],[risk_weight]]+Summary3[[#This Row],[stuctural_risk]]</f>
        <v>1.8</v>
      </c>
      <c r="E175">
        <f>_xlfn.XLOOKUP(Summary3[[#This Row],[loan_id]],[1]!Risk2[loan_id],[1]!Risk2[total_risk])</f>
        <v>1.8</v>
      </c>
      <c r="F175" s="2">
        <f>Summary3[[#This Row],[total_risk_M03]]-Summary3[[#This Row],[total_risk_M02]]</f>
        <v>0</v>
      </c>
      <c r="G175" t="str">
        <f>_xlfn.XLOOKUP(Summary3[[#This Row],[loan_id]],[1]!Loans[loan_id],[1]!Loans[loan_size_band])</f>
        <v>Large</v>
      </c>
    </row>
    <row r="176" spans="1:7" x14ac:dyDescent="0.25">
      <c r="A176" t="s">
        <v>394</v>
      </c>
      <c r="B176">
        <f>IF([1]!Repayment3[[#This Row],[payment_status]]="Full",0,IF([1]!Repayment3[[#This Row],[payment_status]]="Partial",0.5,1))</f>
        <v>1</v>
      </c>
      <c r="C176">
        <f>_xlfn.XLOOKUP(Summary3[[#This Row],[loan_id]],[1]!Loans[loan_id],[1]!Loans[structural_risk])</f>
        <v>0.8</v>
      </c>
      <c r="D176">
        <f>Summary3[[#This Row],[risk_weight]]+Summary3[[#This Row],[stuctural_risk]]</f>
        <v>1.8</v>
      </c>
      <c r="E176">
        <f>_xlfn.XLOOKUP(Summary3[[#This Row],[loan_id]],[1]!Risk2[loan_id],[1]!Risk2[total_risk])</f>
        <v>1.8</v>
      </c>
      <c r="F176" s="2">
        <f>Summary3[[#This Row],[total_risk_M03]]-Summary3[[#This Row],[total_risk_M02]]</f>
        <v>0</v>
      </c>
      <c r="G176" t="str">
        <f>_xlfn.XLOOKUP(Summary3[[#This Row],[loan_id]],[1]!Loans[loan_id],[1]!Loans[loan_size_band])</f>
        <v>Large</v>
      </c>
    </row>
    <row r="177" spans="1:7" x14ac:dyDescent="0.25">
      <c r="A177" t="s">
        <v>396</v>
      </c>
      <c r="B177">
        <f>IF([1]!Repayment3[[#This Row],[payment_status]]="Full",0,IF([1]!Repayment3[[#This Row],[payment_status]]="Partial",0.5,1))</f>
        <v>1</v>
      </c>
      <c r="C177">
        <f>_xlfn.XLOOKUP(Summary3[[#This Row],[loan_id]],[1]!Loans[loan_id],[1]!Loans[structural_risk])</f>
        <v>0.8</v>
      </c>
      <c r="D177">
        <f>Summary3[[#This Row],[risk_weight]]+Summary3[[#This Row],[stuctural_risk]]</f>
        <v>1.8</v>
      </c>
      <c r="E177">
        <f>_xlfn.XLOOKUP(Summary3[[#This Row],[loan_id]],[1]!Risk2[loan_id],[1]!Risk2[total_risk])</f>
        <v>1.8</v>
      </c>
      <c r="F177" s="2">
        <f>Summary3[[#This Row],[total_risk_M03]]-Summary3[[#This Row],[total_risk_M02]]</f>
        <v>0</v>
      </c>
      <c r="G177" t="str">
        <f>_xlfn.XLOOKUP(Summary3[[#This Row],[loan_id]],[1]!Loans[loan_id],[1]!Loans[loan_size_band])</f>
        <v>Large</v>
      </c>
    </row>
    <row r="178" spans="1:7" x14ac:dyDescent="0.25">
      <c r="A178" t="s">
        <v>398</v>
      </c>
      <c r="B178">
        <f>IF([1]!Repayment3[[#This Row],[payment_status]]="Full",0,IF([1]!Repayment3[[#This Row],[payment_status]]="Partial",0.5,1))</f>
        <v>1</v>
      </c>
      <c r="C178">
        <f>_xlfn.XLOOKUP(Summary3[[#This Row],[loan_id]],[1]!Loans[loan_id],[1]!Loans[structural_risk])</f>
        <v>0.8</v>
      </c>
      <c r="D178">
        <f>Summary3[[#This Row],[risk_weight]]+Summary3[[#This Row],[stuctural_risk]]</f>
        <v>1.8</v>
      </c>
      <c r="E178">
        <f>_xlfn.XLOOKUP(Summary3[[#This Row],[loan_id]],[1]!Risk2[loan_id],[1]!Risk2[total_risk])</f>
        <v>1.8</v>
      </c>
      <c r="F178" s="2">
        <f>Summary3[[#This Row],[total_risk_M03]]-Summary3[[#This Row],[total_risk_M02]]</f>
        <v>0</v>
      </c>
      <c r="G178" t="str">
        <f>_xlfn.XLOOKUP(Summary3[[#This Row],[loan_id]],[1]!Loans[loan_id],[1]!Loans[loan_size_band])</f>
        <v>Large</v>
      </c>
    </row>
    <row r="179" spans="1:7" x14ac:dyDescent="0.25">
      <c r="A179" t="s">
        <v>400</v>
      </c>
      <c r="B179">
        <f>IF([1]!Repayment3[[#This Row],[payment_status]]="Full",0,IF([1]!Repayment3[[#This Row],[payment_status]]="Partial",0.5,1))</f>
        <v>1</v>
      </c>
      <c r="C179">
        <f>_xlfn.XLOOKUP(Summary3[[#This Row],[loan_id]],[1]!Loans[loan_id],[1]!Loans[structural_risk])</f>
        <v>0.8</v>
      </c>
      <c r="D179">
        <f>Summary3[[#This Row],[risk_weight]]+Summary3[[#This Row],[stuctural_risk]]</f>
        <v>1.8</v>
      </c>
      <c r="E179">
        <f>_xlfn.XLOOKUP(Summary3[[#This Row],[loan_id]],[1]!Risk2[loan_id],[1]!Risk2[total_risk])</f>
        <v>1.8</v>
      </c>
      <c r="F179" s="2">
        <f>Summary3[[#This Row],[total_risk_M03]]-Summary3[[#This Row],[total_risk_M02]]</f>
        <v>0</v>
      </c>
      <c r="G179" t="str">
        <f>_xlfn.XLOOKUP(Summary3[[#This Row],[loan_id]],[1]!Loans[loan_id],[1]!Loans[loan_size_band])</f>
        <v>Large</v>
      </c>
    </row>
    <row r="180" spans="1:7" x14ac:dyDescent="0.25">
      <c r="A180" t="s">
        <v>404</v>
      </c>
      <c r="B180">
        <f>IF([1]!Repayment3[[#This Row],[payment_status]]="Full",0,IF([1]!Repayment3[[#This Row],[payment_status]]="Partial",0.5,1))</f>
        <v>1</v>
      </c>
      <c r="C180">
        <f>_xlfn.XLOOKUP(Summary3[[#This Row],[loan_id]],[1]!Loans[loan_id],[1]!Loans[structural_risk])</f>
        <v>0.8</v>
      </c>
      <c r="D180">
        <f>Summary3[[#This Row],[risk_weight]]+Summary3[[#This Row],[stuctural_risk]]</f>
        <v>1.8</v>
      </c>
      <c r="E180">
        <f>_xlfn.XLOOKUP(Summary3[[#This Row],[loan_id]],[1]!Risk2[loan_id],[1]!Risk2[total_risk])</f>
        <v>1.8</v>
      </c>
      <c r="F180" s="2">
        <f>Summary3[[#This Row],[total_risk_M03]]-Summary3[[#This Row],[total_risk_M02]]</f>
        <v>0</v>
      </c>
      <c r="G180" t="str">
        <f>_xlfn.XLOOKUP(Summary3[[#This Row],[loan_id]],[1]!Loans[loan_id],[1]!Loans[loan_size_band])</f>
        <v>Large</v>
      </c>
    </row>
    <row r="181" spans="1:7" x14ac:dyDescent="0.25">
      <c r="A181" t="s">
        <v>406</v>
      </c>
      <c r="B181">
        <f>IF([1]!Repayment3[[#This Row],[payment_status]]="Full",0,IF([1]!Repayment3[[#This Row],[payment_status]]="Partial",0.5,1))</f>
        <v>1</v>
      </c>
      <c r="C181">
        <f>_xlfn.XLOOKUP(Summary3[[#This Row],[loan_id]],[1]!Loans[loan_id],[1]!Loans[structural_risk])</f>
        <v>0.8</v>
      </c>
      <c r="D181">
        <f>Summary3[[#This Row],[risk_weight]]+Summary3[[#This Row],[stuctural_risk]]</f>
        <v>1.8</v>
      </c>
      <c r="E181">
        <f>_xlfn.XLOOKUP(Summary3[[#This Row],[loan_id]],[1]!Risk2[loan_id],[1]!Risk2[total_risk])</f>
        <v>1.8</v>
      </c>
      <c r="F181" s="2">
        <f>Summary3[[#This Row],[total_risk_M03]]-Summary3[[#This Row],[total_risk_M02]]</f>
        <v>0</v>
      </c>
      <c r="G181" t="str">
        <f>_xlfn.XLOOKUP(Summary3[[#This Row],[loan_id]],[1]!Loans[loan_id],[1]!Loans[loan_size_band])</f>
        <v>Large</v>
      </c>
    </row>
    <row r="182" spans="1:7" x14ac:dyDescent="0.25">
      <c r="A182" t="s">
        <v>293</v>
      </c>
      <c r="B182">
        <f>IF([1]!Repayment3[[#This Row],[payment_status]]="Full",0,IF([1]!Repayment3[[#This Row],[payment_status]]="Partial",0.5,1))</f>
        <v>1</v>
      </c>
      <c r="C182">
        <f>_xlfn.XLOOKUP(Summary3[[#This Row],[loan_id]],[1]!Loans[loan_id],[1]!Loans[structural_risk])</f>
        <v>0.8</v>
      </c>
      <c r="D182">
        <f>Summary3[[#This Row],[risk_weight]]+Summary3[[#This Row],[stuctural_risk]]</f>
        <v>1.8</v>
      </c>
      <c r="E182">
        <f>_xlfn.XLOOKUP(Summary3[[#This Row],[loan_id]],[1]!Risk2[loan_id],[1]!Risk2[total_risk])</f>
        <v>1.3</v>
      </c>
      <c r="F182" s="2">
        <f>Summary3[[#This Row],[total_risk_M03]]-Summary3[[#This Row],[total_risk_M02]]</f>
        <v>0.5</v>
      </c>
      <c r="G182" t="str">
        <f>_xlfn.XLOOKUP(Summary3[[#This Row],[loan_id]],[1]!Loans[loan_id],[1]!Loans[loan_size_band])</f>
        <v>Large</v>
      </c>
    </row>
    <row r="183" spans="1:7" x14ac:dyDescent="0.25">
      <c r="A183" t="s">
        <v>297</v>
      </c>
      <c r="B183">
        <f>IF([1]!Repayment3[[#This Row],[payment_status]]="Full",0,IF([1]!Repayment3[[#This Row],[payment_status]]="Partial",0.5,1))</f>
        <v>1</v>
      </c>
      <c r="C183">
        <f>_xlfn.XLOOKUP(Summary3[[#This Row],[loan_id]],[1]!Loans[loan_id],[1]!Loans[structural_risk])</f>
        <v>0.8</v>
      </c>
      <c r="D183">
        <f>Summary3[[#This Row],[risk_weight]]+Summary3[[#This Row],[stuctural_risk]]</f>
        <v>1.8</v>
      </c>
      <c r="E183">
        <f>_xlfn.XLOOKUP(Summary3[[#This Row],[loan_id]],[1]!Risk2[loan_id],[1]!Risk2[total_risk])</f>
        <v>1.3</v>
      </c>
      <c r="F183" s="2">
        <f>Summary3[[#This Row],[total_risk_M03]]-Summary3[[#This Row],[total_risk_M02]]</f>
        <v>0.5</v>
      </c>
      <c r="G183" t="str">
        <f>_xlfn.XLOOKUP(Summary3[[#This Row],[loan_id]],[1]!Loans[loan_id],[1]!Loans[loan_size_band])</f>
        <v>Large</v>
      </c>
    </row>
    <row r="184" spans="1:7" x14ac:dyDescent="0.25">
      <c r="A184" t="s">
        <v>299</v>
      </c>
      <c r="B184">
        <f>IF([1]!Repayment3[[#This Row],[payment_status]]="Full",0,IF([1]!Repayment3[[#This Row],[payment_status]]="Partial",0.5,1))</f>
        <v>1</v>
      </c>
      <c r="C184">
        <f>_xlfn.XLOOKUP(Summary3[[#This Row],[loan_id]],[1]!Loans[loan_id],[1]!Loans[structural_risk])</f>
        <v>0.8</v>
      </c>
      <c r="D184">
        <f>Summary3[[#This Row],[risk_weight]]+Summary3[[#This Row],[stuctural_risk]]</f>
        <v>1.8</v>
      </c>
      <c r="E184">
        <f>_xlfn.XLOOKUP(Summary3[[#This Row],[loan_id]],[1]!Risk2[loan_id],[1]!Risk2[total_risk])</f>
        <v>1.3</v>
      </c>
      <c r="F184" s="2">
        <f>Summary3[[#This Row],[total_risk_M03]]-Summary3[[#This Row],[total_risk_M02]]</f>
        <v>0.5</v>
      </c>
      <c r="G184" t="str">
        <f>_xlfn.XLOOKUP(Summary3[[#This Row],[loan_id]],[1]!Loans[loan_id],[1]!Loans[loan_size_band])</f>
        <v>Large</v>
      </c>
    </row>
    <row r="185" spans="1:7" x14ac:dyDescent="0.25">
      <c r="A185" t="s">
        <v>301</v>
      </c>
      <c r="B185">
        <f>IF([1]!Repayment3[[#This Row],[payment_status]]="Full",0,IF([1]!Repayment3[[#This Row],[payment_status]]="Partial",0.5,1))</f>
        <v>1</v>
      </c>
      <c r="C185">
        <f>_xlfn.XLOOKUP(Summary3[[#This Row],[loan_id]],[1]!Loans[loan_id],[1]!Loans[structural_risk])</f>
        <v>0.8</v>
      </c>
      <c r="D185">
        <f>Summary3[[#This Row],[risk_weight]]+Summary3[[#This Row],[stuctural_risk]]</f>
        <v>1.8</v>
      </c>
      <c r="E185">
        <f>_xlfn.XLOOKUP(Summary3[[#This Row],[loan_id]],[1]!Risk2[loan_id],[1]!Risk2[total_risk])</f>
        <v>1.3</v>
      </c>
      <c r="F185" s="2">
        <f>Summary3[[#This Row],[total_risk_M03]]-Summary3[[#This Row],[total_risk_M02]]</f>
        <v>0.5</v>
      </c>
      <c r="G185" t="str">
        <f>_xlfn.XLOOKUP(Summary3[[#This Row],[loan_id]],[1]!Loans[loan_id],[1]!Loans[loan_size_band])</f>
        <v>Large</v>
      </c>
    </row>
    <row r="186" spans="1:7" x14ac:dyDescent="0.25">
      <c r="A186" t="s">
        <v>303</v>
      </c>
      <c r="B186">
        <f>IF([1]!Repayment3[[#This Row],[payment_status]]="Full",0,IF([1]!Repayment3[[#This Row],[payment_status]]="Partial",0.5,1))</f>
        <v>1</v>
      </c>
      <c r="C186">
        <f>_xlfn.XLOOKUP(Summary3[[#This Row],[loan_id]],[1]!Loans[loan_id],[1]!Loans[structural_risk])</f>
        <v>0.8</v>
      </c>
      <c r="D186">
        <f>Summary3[[#This Row],[risk_weight]]+Summary3[[#This Row],[stuctural_risk]]</f>
        <v>1.8</v>
      </c>
      <c r="E186">
        <f>_xlfn.XLOOKUP(Summary3[[#This Row],[loan_id]],[1]!Risk2[loan_id],[1]!Risk2[total_risk])</f>
        <v>1.3</v>
      </c>
      <c r="F186" s="2">
        <f>Summary3[[#This Row],[total_risk_M03]]-Summary3[[#This Row],[total_risk_M02]]</f>
        <v>0.5</v>
      </c>
      <c r="G186" t="str">
        <f>_xlfn.XLOOKUP(Summary3[[#This Row],[loan_id]],[1]!Loans[loan_id],[1]!Loans[loan_size_band])</f>
        <v>Large</v>
      </c>
    </row>
    <row r="187" spans="1:7" x14ac:dyDescent="0.25">
      <c r="A187" t="s">
        <v>305</v>
      </c>
      <c r="B187">
        <f>IF([1]!Repayment3[[#This Row],[payment_status]]="Full",0,IF([1]!Repayment3[[#This Row],[payment_status]]="Partial",0.5,1))</f>
        <v>1</v>
      </c>
      <c r="C187">
        <f>_xlfn.XLOOKUP(Summary3[[#This Row],[loan_id]],[1]!Loans[loan_id],[1]!Loans[structural_risk])</f>
        <v>0.8</v>
      </c>
      <c r="D187">
        <f>Summary3[[#This Row],[risk_weight]]+Summary3[[#This Row],[stuctural_risk]]</f>
        <v>1.8</v>
      </c>
      <c r="E187">
        <f>_xlfn.XLOOKUP(Summary3[[#This Row],[loan_id]],[1]!Risk2[loan_id],[1]!Risk2[total_risk])</f>
        <v>1.3</v>
      </c>
      <c r="F187" s="2">
        <f>Summary3[[#This Row],[total_risk_M03]]-Summary3[[#This Row],[total_risk_M02]]</f>
        <v>0.5</v>
      </c>
      <c r="G187" t="str">
        <f>_xlfn.XLOOKUP(Summary3[[#This Row],[loan_id]],[1]!Loans[loan_id],[1]!Loans[loan_size_band])</f>
        <v>Large</v>
      </c>
    </row>
    <row r="188" spans="1:7" x14ac:dyDescent="0.25">
      <c r="A188" t="s">
        <v>307</v>
      </c>
      <c r="B188">
        <f>IF([1]!Repayment3[[#This Row],[payment_status]]="Full",0,IF([1]!Repayment3[[#This Row],[payment_status]]="Partial",0.5,1))</f>
        <v>1</v>
      </c>
      <c r="C188">
        <f>_xlfn.XLOOKUP(Summary3[[#This Row],[loan_id]],[1]!Loans[loan_id],[1]!Loans[structural_risk])</f>
        <v>0.8</v>
      </c>
      <c r="D188">
        <f>Summary3[[#This Row],[risk_weight]]+Summary3[[#This Row],[stuctural_risk]]</f>
        <v>1.8</v>
      </c>
      <c r="E188">
        <f>_xlfn.XLOOKUP(Summary3[[#This Row],[loan_id]],[1]!Risk2[loan_id],[1]!Risk2[total_risk])</f>
        <v>1.3</v>
      </c>
      <c r="F188" s="2">
        <f>Summary3[[#This Row],[total_risk_M03]]-Summary3[[#This Row],[total_risk_M02]]</f>
        <v>0.5</v>
      </c>
      <c r="G188" t="str">
        <f>_xlfn.XLOOKUP(Summary3[[#This Row],[loan_id]],[1]!Loans[loan_id],[1]!Loans[loan_size_band])</f>
        <v>Large</v>
      </c>
    </row>
    <row r="189" spans="1:7" x14ac:dyDescent="0.25">
      <c r="A189" t="s">
        <v>309</v>
      </c>
      <c r="B189">
        <f>IF([1]!Repayment3[[#This Row],[payment_status]]="Full",0,IF([1]!Repayment3[[#This Row],[payment_status]]="Partial",0.5,1))</f>
        <v>1</v>
      </c>
      <c r="C189">
        <f>_xlfn.XLOOKUP(Summary3[[#This Row],[loan_id]],[1]!Loans[loan_id],[1]!Loans[structural_risk])</f>
        <v>0.8</v>
      </c>
      <c r="D189">
        <f>Summary3[[#This Row],[risk_weight]]+Summary3[[#This Row],[stuctural_risk]]</f>
        <v>1.8</v>
      </c>
      <c r="E189">
        <f>_xlfn.XLOOKUP(Summary3[[#This Row],[loan_id]],[1]!Risk2[loan_id],[1]!Risk2[total_risk])</f>
        <v>1.3</v>
      </c>
      <c r="F189" s="2">
        <f>Summary3[[#This Row],[total_risk_M03]]-Summary3[[#This Row],[total_risk_M02]]</f>
        <v>0.5</v>
      </c>
      <c r="G189" t="str">
        <f>_xlfn.XLOOKUP(Summary3[[#This Row],[loan_id]],[1]!Loans[loan_id],[1]!Loans[loan_size_band])</f>
        <v>Large</v>
      </c>
    </row>
    <row r="190" spans="1:7" x14ac:dyDescent="0.25">
      <c r="A190" t="s">
        <v>311</v>
      </c>
      <c r="B190">
        <f>IF([1]!Repayment3[[#This Row],[payment_status]]="Full",0,IF([1]!Repayment3[[#This Row],[payment_status]]="Partial",0.5,1))</f>
        <v>1</v>
      </c>
      <c r="C190">
        <f>_xlfn.XLOOKUP(Summary3[[#This Row],[loan_id]],[1]!Loans[loan_id],[1]!Loans[structural_risk])</f>
        <v>0.8</v>
      </c>
      <c r="D190">
        <f>Summary3[[#This Row],[risk_weight]]+Summary3[[#This Row],[stuctural_risk]]</f>
        <v>1.8</v>
      </c>
      <c r="E190">
        <f>_xlfn.XLOOKUP(Summary3[[#This Row],[loan_id]],[1]!Risk2[loan_id],[1]!Risk2[total_risk])</f>
        <v>1.3</v>
      </c>
      <c r="F190" s="2">
        <f>Summary3[[#This Row],[total_risk_M03]]-Summary3[[#This Row],[total_risk_M02]]</f>
        <v>0.5</v>
      </c>
      <c r="G190" t="str">
        <f>_xlfn.XLOOKUP(Summary3[[#This Row],[loan_id]],[1]!Loans[loan_id],[1]!Loans[loan_size_band])</f>
        <v>Large</v>
      </c>
    </row>
    <row r="191" spans="1:7" x14ac:dyDescent="0.25">
      <c r="A191" t="s">
        <v>313</v>
      </c>
      <c r="B191">
        <f>IF([1]!Repayment3[[#This Row],[payment_status]]="Full",0,IF([1]!Repayment3[[#This Row],[payment_status]]="Partial",0.5,1))</f>
        <v>1</v>
      </c>
      <c r="C191">
        <f>_xlfn.XLOOKUP(Summary3[[#This Row],[loan_id]],[1]!Loans[loan_id],[1]!Loans[structural_risk])</f>
        <v>0.8</v>
      </c>
      <c r="D191">
        <f>Summary3[[#This Row],[risk_weight]]+Summary3[[#This Row],[stuctural_risk]]</f>
        <v>1.8</v>
      </c>
      <c r="E191">
        <f>_xlfn.XLOOKUP(Summary3[[#This Row],[loan_id]],[1]!Risk2[loan_id],[1]!Risk2[total_risk])</f>
        <v>1.3</v>
      </c>
      <c r="F191" s="2">
        <f>Summary3[[#This Row],[total_risk_M03]]-Summary3[[#This Row],[total_risk_M02]]</f>
        <v>0.5</v>
      </c>
      <c r="G191" t="str">
        <f>_xlfn.XLOOKUP(Summary3[[#This Row],[loan_id]],[1]!Loans[loan_id],[1]!Loans[loan_size_band])</f>
        <v>Large</v>
      </c>
    </row>
    <row r="192" spans="1:7" x14ac:dyDescent="0.25">
      <c r="A192" t="s">
        <v>315</v>
      </c>
      <c r="B192">
        <f>IF([1]!Repayment3[[#This Row],[payment_status]]="Full",0,IF([1]!Repayment3[[#This Row],[payment_status]]="Partial",0.5,1))</f>
        <v>1</v>
      </c>
      <c r="C192">
        <f>_xlfn.XLOOKUP(Summary3[[#This Row],[loan_id]],[1]!Loans[loan_id],[1]!Loans[structural_risk])</f>
        <v>0.8</v>
      </c>
      <c r="D192">
        <f>Summary3[[#This Row],[risk_weight]]+Summary3[[#This Row],[stuctural_risk]]</f>
        <v>1.8</v>
      </c>
      <c r="E192">
        <f>_xlfn.XLOOKUP(Summary3[[#This Row],[loan_id]],[1]!Risk2[loan_id],[1]!Risk2[total_risk])</f>
        <v>1.3</v>
      </c>
      <c r="F192" s="2">
        <f>Summary3[[#This Row],[total_risk_M03]]-Summary3[[#This Row],[total_risk_M02]]</f>
        <v>0.5</v>
      </c>
      <c r="G192" t="str">
        <f>_xlfn.XLOOKUP(Summary3[[#This Row],[loan_id]],[1]!Loans[loan_id],[1]!Loans[loan_size_band])</f>
        <v>Large</v>
      </c>
    </row>
    <row r="193" spans="1:7" x14ac:dyDescent="0.25">
      <c r="A193" t="s">
        <v>317</v>
      </c>
      <c r="B193">
        <f>IF([1]!Repayment3[[#This Row],[payment_status]]="Full",0,IF([1]!Repayment3[[#This Row],[payment_status]]="Partial",0.5,1))</f>
        <v>1</v>
      </c>
      <c r="C193">
        <f>_xlfn.XLOOKUP(Summary3[[#This Row],[loan_id]],[1]!Loans[loan_id],[1]!Loans[structural_risk])</f>
        <v>0.8</v>
      </c>
      <c r="D193">
        <f>Summary3[[#This Row],[risk_weight]]+Summary3[[#This Row],[stuctural_risk]]</f>
        <v>1.8</v>
      </c>
      <c r="E193">
        <f>_xlfn.XLOOKUP(Summary3[[#This Row],[loan_id]],[1]!Risk2[loan_id],[1]!Risk2[total_risk])</f>
        <v>1.3</v>
      </c>
      <c r="F193" s="2">
        <f>Summary3[[#This Row],[total_risk_M03]]-Summary3[[#This Row],[total_risk_M02]]</f>
        <v>0.5</v>
      </c>
      <c r="G193" t="str">
        <f>_xlfn.XLOOKUP(Summary3[[#This Row],[loan_id]],[1]!Loans[loan_id],[1]!Loans[loan_size_band])</f>
        <v>Large</v>
      </c>
    </row>
    <row r="194" spans="1:7" x14ac:dyDescent="0.25">
      <c r="A194" t="s">
        <v>319</v>
      </c>
      <c r="B194">
        <f>IF([1]!Repayment3[[#This Row],[payment_status]]="Full",0,IF([1]!Repayment3[[#This Row],[payment_status]]="Partial",0.5,1))</f>
        <v>1</v>
      </c>
      <c r="C194">
        <f>_xlfn.XLOOKUP(Summary3[[#This Row],[loan_id]],[1]!Loans[loan_id],[1]!Loans[structural_risk])</f>
        <v>0.8</v>
      </c>
      <c r="D194">
        <f>Summary3[[#This Row],[risk_weight]]+Summary3[[#This Row],[stuctural_risk]]</f>
        <v>1.8</v>
      </c>
      <c r="E194">
        <f>_xlfn.XLOOKUP(Summary3[[#This Row],[loan_id]],[1]!Risk2[loan_id],[1]!Risk2[total_risk])</f>
        <v>1.3</v>
      </c>
      <c r="F194" s="2">
        <f>Summary3[[#This Row],[total_risk_M03]]-Summary3[[#This Row],[total_risk_M02]]</f>
        <v>0.5</v>
      </c>
      <c r="G194" t="str">
        <f>_xlfn.XLOOKUP(Summary3[[#This Row],[loan_id]],[1]!Loans[loan_id],[1]!Loans[loan_size_band])</f>
        <v>Large</v>
      </c>
    </row>
    <row r="195" spans="1:7" x14ac:dyDescent="0.25">
      <c r="A195" t="s">
        <v>321</v>
      </c>
      <c r="B195">
        <f>IF([1]!Repayment3[[#This Row],[payment_status]]="Full",0,IF([1]!Repayment3[[#This Row],[payment_status]]="Partial",0.5,1))</f>
        <v>1</v>
      </c>
      <c r="C195">
        <f>_xlfn.XLOOKUP(Summary3[[#This Row],[loan_id]],[1]!Loans[loan_id],[1]!Loans[structural_risk])</f>
        <v>0.8</v>
      </c>
      <c r="D195">
        <f>Summary3[[#This Row],[risk_weight]]+Summary3[[#This Row],[stuctural_risk]]</f>
        <v>1.8</v>
      </c>
      <c r="E195">
        <f>_xlfn.XLOOKUP(Summary3[[#This Row],[loan_id]],[1]!Risk2[loan_id],[1]!Risk2[total_risk])</f>
        <v>1.3</v>
      </c>
      <c r="F195" s="2">
        <f>Summary3[[#This Row],[total_risk_M03]]-Summary3[[#This Row],[total_risk_M02]]</f>
        <v>0.5</v>
      </c>
      <c r="G195" t="str">
        <f>_xlfn.XLOOKUP(Summary3[[#This Row],[loan_id]],[1]!Loans[loan_id],[1]!Loans[loan_size_band])</f>
        <v>Large</v>
      </c>
    </row>
    <row r="196" spans="1:7" x14ac:dyDescent="0.25">
      <c r="A196" t="s">
        <v>323</v>
      </c>
      <c r="B196">
        <f>IF([1]!Repayment3[[#This Row],[payment_status]]="Full",0,IF([1]!Repayment3[[#This Row],[payment_status]]="Partial",0.5,1))</f>
        <v>1</v>
      </c>
      <c r="C196">
        <f>_xlfn.XLOOKUP(Summary3[[#This Row],[loan_id]],[1]!Loans[loan_id],[1]!Loans[structural_risk])</f>
        <v>0.8</v>
      </c>
      <c r="D196">
        <f>Summary3[[#This Row],[risk_weight]]+Summary3[[#This Row],[stuctural_risk]]</f>
        <v>1.8</v>
      </c>
      <c r="E196">
        <f>_xlfn.XLOOKUP(Summary3[[#This Row],[loan_id]],[1]!Risk2[loan_id],[1]!Risk2[total_risk])</f>
        <v>1.3</v>
      </c>
      <c r="F196" s="2">
        <f>Summary3[[#This Row],[total_risk_M03]]-Summary3[[#This Row],[total_risk_M02]]</f>
        <v>0.5</v>
      </c>
      <c r="G196" t="str">
        <f>_xlfn.XLOOKUP(Summary3[[#This Row],[loan_id]],[1]!Loans[loan_id],[1]!Loans[loan_size_band])</f>
        <v>Large</v>
      </c>
    </row>
    <row r="197" spans="1:7" x14ac:dyDescent="0.25">
      <c r="A197" t="s">
        <v>327</v>
      </c>
      <c r="B197">
        <f>IF([1]!Repayment3[[#This Row],[payment_status]]="Full",0,IF([1]!Repayment3[[#This Row],[payment_status]]="Partial",0.5,1))</f>
        <v>1</v>
      </c>
      <c r="C197">
        <f>_xlfn.XLOOKUP(Summary3[[#This Row],[loan_id]],[1]!Loans[loan_id],[1]!Loans[structural_risk])</f>
        <v>0.8</v>
      </c>
      <c r="D197">
        <f>Summary3[[#This Row],[risk_weight]]+Summary3[[#This Row],[stuctural_risk]]</f>
        <v>1.8</v>
      </c>
      <c r="E197">
        <f>_xlfn.XLOOKUP(Summary3[[#This Row],[loan_id]],[1]!Risk2[loan_id],[1]!Risk2[total_risk])</f>
        <v>1.3</v>
      </c>
      <c r="F197" s="2">
        <f>Summary3[[#This Row],[total_risk_M03]]-Summary3[[#This Row],[total_risk_M02]]</f>
        <v>0.5</v>
      </c>
      <c r="G197" t="str">
        <f>_xlfn.XLOOKUP(Summary3[[#This Row],[loan_id]],[1]!Loans[loan_id],[1]!Loans[loan_size_band])</f>
        <v>Large</v>
      </c>
    </row>
    <row r="198" spans="1:7" x14ac:dyDescent="0.25">
      <c r="A198" t="s">
        <v>329</v>
      </c>
      <c r="B198">
        <f>IF([1]!Repayment3[[#This Row],[payment_status]]="Full",0,IF([1]!Repayment3[[#This Row],[payment_status]]="Partial",0.5,1))</f>
        <v>1</v>
      </c>
      <c r="C198">
        <f>_xlfn.XLOOKUP(Summary3[[#This Row],[loan_id]],[1]!Loans[loan_id],[1]!Loans[structural_risk])</f>
        <v>0.8</v>
      </c>
      <c r="D198">
        <f>Summary3[[#This Row],[risk_weight]]+Summary3[[#This Row],[stuctural_risk]]</f>
        <v>1.8</v>
      </c>
      <c r="E198">
        <f>_xlfn.XLOOKUP(Summary3[[#This Row],[loan_id]],[1]!Risk2[loan_id],[1]!Risk2[total_risk])</f>
        <v>1.3</v>
      </c>
      <c r="F198" s="2">
        <f>Summary3[[#This Row],[total_risk_M03]]-Summary3[[#This Row],[total_risk_M02]]</f>
        <v>0.5</v>
      </c>
      <c r="G198" t="str">
        <f>_xlfn.XLOOKUP(Summary3[[#This Row],[loan_id]],[1]!Loans[loan_id],[1]!Loans[loan_size_band])</f>
        <v>Large</v>
      </c>
    </row>
    <row r="199" spans="1:7" x14ac:dyDescent="0.25">
      <c r="A199" t="s">
        <v>333</v>
      </c>
      <c r="B199">
        <f>IF([1]!Repayment3[[#This Row],[payment_status]]="Full",0,IF([1]!Repayment3[[#This Row],[payment_status]]="Partial",0.5,1))</f>
        <v>1</v>
      </c>
      <c r="C199">
        <f>_xlfn.XLOOKUP(Summary3[[#This Row],[loan_id]],[1]!Loans[loan_id],[1]!Loans[structural_risk])</f>
        <v>0.8</v>
      </c>
      <c r="D199">
        <f>Summary3[[#This Row],[risk_weight]]+Summary3[[#This Row],[stuctural_risk]]</f>
        <v>1.8</v>
      </c>
      <c r="E199">
        <f>_xlfn.XLOOKUP(Summary3[[#This Row],[loan_id]],[1]!Risk2[loan_id],[1]!Risk2[total_risk])</f>
        <v>1.3</v>
      </c>
      <c r="F199" s="2">
        <f>Summary3[[#This Row],[total_risk_M03]]-Summary3[[#This Row],[total_risk_M02]]</f>
        <v>0.5</v>
      </c>
      <c r="G199" t="str">
        <f>_xlfn.XLOOKUP(Summary3[[#This Row],[loan_id]],[1]!Loans[loan_id],[1]!Loans[loan_size_band])</f>
        <v>Large</v>
      </c>
    </row>
    <row r="200" spans="1:7" x14ac:dyDescent="0.25">
      <c r="A200" t="s">
        <v>271</v>
      </c>
      <c r="B200">
        <f>IF([1]!Repayment3[[#This Row],[payment_status]]="Full",0,IF([1]!Repayment3[[#This Row],[payment_status]]="Partial",0.5,1))</f>
        <v>1</v>
      </c>
      <c r="C200">
        <f>_xlfn.XLOOKUP(Summary3[[#This Row],[loan_id]],[1]!Loans[loan_id],[1]!Loans[structural_risk])</f>
        <v>0.8</v>
      </c>
      <c r="D200">
        <f>Summary3[[#This Row],[risk_weight]]+Summary3[[#This Row],[stuctural_risk]]</f>
        <v>1.8</v>
      </c>
      <c r="E200">
        <f>_xlfn.XLOOKUP(Summary3[[#This Row],[loan_id]],[1]!Risk2[loan_id],[1]!Risk2[total_risk])</f>
        <v>1.3</v>
      </c>
      <c r="F200" s="2">
        <f>Summary3[[#This Row],[total_risk_M03]]-Summary3[[#This Row],[total_risk_M02]]</f>
        <v>0.5</v>
      </c>
      <c r="G200" t="str">
        <f>_xlfn.XLOOKUP(Summary3[[#This Row],[loan_id]],[1]!Loans[loan_id],[1]!Loans[loan_size_band])</f>
        <v>Large</v>
      </c>
    </row>
    <row r="201" spans="1:7" x14ac:dyDescent="0.25">
      <c r="A201" t="s">
        <v>408</v>
      </c>
      <c r="B201">
        <f>IF([1]!Repayment3[[#This Row],[payment_status]]="Full",0,IF([1]!Repayment3[[#This Row],[payment_status]]="Partial",0.5,1))</f>
        <v>1</v>
      </c>
      <c r="C201">
        <f>_xlfn.XLOOKUP(Summary3[[#This Row],[loan_id]],[1]!Loans[loan_id],[1]!Loans[structural_risk])</f>
        <v>0.8</v>
      </c>
      <c r="D201">
        <f>Summary3[[#This Row],[risk_weight]]+Summary3[[#This Row],[stuctural_risk]]</f>
        <v>1.8</v>
      </c>
      <c r="E201">
        <f>_xlfn.XLOOKUP(Summary3[[#This Row],[loan_id]],[1]!Risk2[loan_id],[1]!Risk2[total_risk])</f>
        <v>1.8</v>
      </c>
      <c r="F201" s="2">
        <f>Summary3[[#This Row],[total_risk_M03]]-Summary3[[#This Row],[total_risk_M02]]</f>
        <v>0</v>
      </c>
      <c r="G201" t="str">
        <f>_xlfn.XLOOKUP(Summary3[[#This Row],[loan_id]],[1]!Loans[loan_id],[1]!Loans[loan_size_band])</f>
        <v>Large</v>
      </c>
    </row>
    <row r="202" spans="1:7" x14ac:dyDescent="0.25">
      <c r="A202" t="s">
        <v>410</v>
      </c>
      <c r="B202">
        <f>IF([1]!Repayment3[[#This Row],[payment_status]]="Full",0,IF([1]!Repayment3[[#This Row],[payment_status]]="Partial",0.5,1))</f>
        <v>1</v>
      </c>
      <c r="C202">
        <f>_xlfn.XLOOKUP(Summary3[[#This Row],[loan_id]],[1]!Loans[loan_id],[1]!Loans[structural_risk])</f>
        <v>0.8</v>
      </c>
      <c r="D202">
        <f>Summary3[[#This Row],[risk_weight]]+Summary3[[#This Row],[stuctural_risk]]</f>
        <v>1.8</v>
      </c>
      <c r="E202">
        <f>_xlfn.XLOOKUP(Summary3[[#This Row],[loan_id]],[1]!Risk2[loan_id],[1]!Risk2[total_risk])</f>
        <v>1.8</v>
      </c>
      <c r="F202" s="2">
        <f>Summary3[[#This Row],[total_risk_M03]]-Summary3[[#This Row],[total_risk_M02]]</f>
        <v>0</v>
      </c>
      <c r="G202" t="str">
        <f>_xlfn.XLOOKUP(Summary3[[#This Row],[loan_id]],[1]!Loans[loan_id],[1]!Loans[loan_size_band])</f>
        <v>Large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7FEB-7ED4-4284-BA52-97426C592101}">
  <dimension ref="A1:H201"/>
  <sheetViews>
    <sheetView workbookViewId="0">
      <selection activeCell="G2" sqref="G2:G201"/>
    </sheetView>
  </sheetViews>
  <sheetFormatPr defaultRowHeight="15" x14ac:dyDescent="0.25"/>
  <cols>
    <col min="1" max="1" width="15.5703125" customWidth="1"/>
    <col min="2" max="2" width="9.7109375" customWidth="1"/>
    <col min="4" max="4" width="14.42578125" customWidth="1"/>
    <col min="5" max="5" width="14.85546875" customWidth="1"/>
    <col min="6" max="6" width="16.85546875" customWidth="1"/>
    <col min="7" max="7" width="13.7109375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8500</v>
      </c>
      <c r="E2">
        <f>[1]!Repayment[[#This Row],[amount_due]]</f>
        <v>8500</v>
      </c>
      <c r="F2" t="s">
        <v>10</v>
      </c>
      <c r="G2">
        <f>IF(Repayment3[[#This Row],[payment_status]]="Full",0,IF(Repayment3[[#This Row],[payment_status]]="Partial",0.5,1))</f>
        <v>0</v>
      </c>
    </row>
    <row r="3" spans="1:8" x14ac:dyDescent="0.25">
      <c r="A3" t="s">
        <v>11</v>
      </c>
      <c r="B3" t="s">
        <v>12</v>
      </c>
      <c r="C3">
        <v>2</v>
      </c>
      <c r="D3">
        <v>51000</v>
      </c>
      <c r="E3">
        <f>[1]!Repayment[[#This Row],[amount_due]]</f>
        <v>51000</v>
      </c>
      <c r="F3" t="s">
        <v>10</v>
      </c>
      <c r="G3">
        <f>IF(Repayment3[[#This Row],[payment_status]]="Full",0,IF(Repayment3[[#This Row],[payment_status]]="Partial",0.5,1))</f>
        <v>0</v>
      </c>
    </row>
    <row r="4" spans="1:8" x14ac:dyDescent="0.25">
      <c r="A4" t="s">
        <v>13</v>
      </c>
      <c r="B4" t="s">
        <v>14</v>
      </c>
      <c r="C4">
        <v>2</v>
      </c>
      <c r="D4">
        <v>13600</v>
      </c>
      <c r="E4">
        <f>[1]!Repayment[[#This Row],[amount_due]]</f>
        <v>13600</v>
      </c>
      <c r="F4" t="s">
        <v>10</v>
      </c>
      <c r="G4">
        <f>IF(Repayment3[[#This Row],[payment_status]]="Full",0,IF(Repayment3[[#This Row],[payment_status]]="Partial",0.5,1))</f>
        <v>0</v>
      </c>
    </row>
    <row r="5" spans="1:8" x14ac:dyDescent="0.25">
      <c r="A5" t="s">
        <v>15</v>
      </c>
      <c r="B5" t="s">
        <v>16</v>
      </c>
      <c r="C5">
        <v>2</v>
      </c>
      <c r="D5">
        <v>3400</v>
      </c>
      <c r="E5">
        <f>[1]!Repayment[[#This Row],[amount_due]]</f>
        <v>3400</v>
      </c>
      <c r="F5" t="s">
        <v>10</v>
      </c>
      <c r="G5">
        <f>IF(Repayment3[[#This Row],[payment_status]]="Full",0,IF(Repayment3[[#This Row],[payment_status]]="Partial",0.5,1))</f>
        <v>0</v>
      </c>
    </row>
    <row r="6" spans="1:8" x14ac:dyDescent="0.25">
      <c r="A6" t="s">
        <v>17</v>
      </c>
      <c r="B6" t="s">
        <v>18</v>
      </c>
      <c r="C6">
        <v>2</v>
      </c>
      <c r="D6">
        <v>34000</v>
      </c>
      <c r="E6">
        <f>[1]!Repayment[[#This Row],[amount_due]]</f>
        <v>34000</v>
      </c>
      <c r="F6" t="s">
        <v>10</v>
      </c>
      <c r="G6">
        <f>IF(Repayment3[[#This Row],[payment_status]]="Full",0,IF(Repayment3[[#This Row],[payment_status]]="Partial",0.5,1))</f>
        <v>0</v>
      </c>
    </row>
    <row r="7" spans="1:8" x14ac:dyDescent="0.25">
      <c r="A7" t="s">
        <v>19</v>
      </c>
      <c r="B7" t="s">
        <v>20</v>
      </c>
      <c r="C7">
        <v>2</v>
      </c>
      <c r="D7">
        <v>11900</v>
      </c>
      <c r="E7">
        <f>[1]!Repayment[[#This Row],[amount_due]]</f>
        <v>11900</v>
      </c>
      <c r="F7" t="s">
        <v>10</v>
      </c>
      <c r="G7">
        <f>IF(Repayment3[[#This Row],[payment_status]]="Full",0,IF(Repayment3[[#This Row],[payment_status]]="Partial",0.5,1))</f>
        <v>0</v>
      </c>
    </row>
    <row r="8" spans="1:8" x14ac:dyDescent="0.25">
      <c r="A8" t="s">
        <v>21</v>
      </c>
      <c r="B8" t="s">
        <v>22</v>
      </c>
      <c r="C8">
        <v>2</v>
      </c>
      <c r="D8">
        <v>76500</v>
      </c>
      <c r="E8">
        <f>[1]!Repayment[[#This Row],[amount_due]]</f>
        <v>76500</v>
      </c>
      <c r="F8" t="s">
        <v>10</v>
      </c>
      <c r="G8">
        <f>IF(Repayment3[[#This Row],[payment_status]]="Full",0,IF(Repayment3[[#This Row],[payment_status]]="Partial",0.5,1))</f>
        <v>0</v>
      </c>
    </row>
    <row r="9" spans="1:8" x14ac:dyDescent="0.25">
      <c r="A9" t="s">
        <v>23</v>
      </c>
      <c r="B9" t="s">
        <v>24</v>
      </c>
      <c r="C9">
        <v>2</v>
      </c>
      <c r="D9">
        <v>54400</v>
      </c>
      <c r="E9">
        <f>[1]!Repayment[[#This Row],[amount_due]]</f>
        <v>54400</v>
      </c>
      <c r="F9" t="s">
        <v>10</v>
      </c>
      <c r="G9">
        <f>IF(Repayment3[[#This Row],[payment_status]]="Full",0,IF(Repayment3[[#This Row],[payment_status]]="Partial",0.5,1))</f>
        <v>0</v>
      </c>
    </row>
    <row r="10" spans="1:8" x14ac:dyDescent="0.25">
      <c r="A10" t="s">
        <v>25</v>
      </c>
      <c r="B10" t="s">
        <v>26</v>
      </c>
      <c r="C10">
        <v>2</v>
      </c>
      <c r="D10">
        <v>85000</v>
      </c>
      <c r="E10">
        <f>[1]!Repayment[[#This Row],[amount_due]]</f>
        <v>85000</v>
      </c>
      <c r="F10" t="s">
        <v>10</v>
      </c>
      <c r="G10">
        <f>IF(Repayment3[[#This Row],[payment_status]]="Full",0,IF(Repayment3[[#This Row],[payment_status]]="Partial",0.5,1))</f>
        <v>0</v>
      </c>
    </row>
    <row r="11" spans="1:8" x14ac:dyDescent="0.25">
      <c r="A11" t="s">
        <v>27</v>
      </c>
      <c r="B11" t="s">
        <v>28</v>
      </c>
      <c r="C11">
        <v>2</v>
      </c>
      <c r="D11">
        <v>28900</v>
      </c>
      <c r="E11">
        <f>[1]!Repayment[[#This Row],[amount_due]]</f>
        <v>28900</v>
      </c>
      <c r="F11" t="s">
        <v>10</v>
      </c>
      <c r="G11">
        <f>IF(Repayment3[[#This Row],[payment_status]]="Full",0,IF(Repayment3[[#This Row],[payment_status]]="Partial",0.5,1))</f>
        <v>0</v>
      </c>
    </row>
    <row r="12" spans="1:8" x14ac:dyDescent="0.25">
      <c r="A12" t="s">
        <v>29</v>
      </c>
      <c r="B12" t="s">
        <v>30</v>
      </c>
      <c r="C12">
        <v>2</v>
      </c>
      <c r="D12">
        <v>44200</v>
      </c>
      <c r="E12">
        <f>[1]!Repayment[[#This Row],[amount_due]]</f>
        <v>44200</v>
      </c>
      <c r="F12" t="s">
        <v>10</v>
      </c>
      <c r="G12">
        <f>IF(Repayment3[[#This Row],[payment_status]]="Full",0,IF(Repayment3[[#This Row],[payment_status]]="Partial",0.5,1))</f>
        <v>0</v>
      </c>
    </row>
    <row r="13" spans="1:8" x14ac:dyDescent="0.25">
      <c r="A13" t="s">
        <v>31</v>
      </c>
      <c r="B13" t="s">
        <v>32</v>
      </c>
      <c r="C13">
        <v>2</v>
      </c>
      <c r="D13">
        <v>17000</v>
      </c>
      <c r="E13">
        <f>[1]!Repayment[[#This Row],[amount_due]]</f>
        <v>17000</v>
      </c>
      <c r="F13" t="s">
        <v>10</v>
      </c>
      <c r="G13">
        <f>IF(Repayment3[[#This Row],[payment_status]]="Full",0,IF(Repayment3[[#This Row],[payment_status]]="Partial",0.5,1))</f>
        <v>0</v>
      </c>
    </row>
    <row r="14" spans="1:8" x14ac:dyDescent="0.25">
      <c r="A14" t="s">
        <v>33</v>
      </c>
      <c r="B14" t="s">
        <v>34</v>
      </c>
      <c r="C14">
        <v>2</v>
      </c>
      <c r="D14">
        <v>18700</v>
      </c>
      <c r="E14">
        <f>[1]!Repayment[[#This Row],[amount_due]]</f>
        <v>18700</v>
      </c>
      <c r="F14" t="s">
        <v>10</v>
      </c>
      <c r="G14">
        <f>IF(Repayment3[[#This Row],[payment_status]]="Full",0,IF(Repayment3[[#This Row],[payment_status]]="Partial",0.5,1))</f>
        <v>0</v>
      </c>
    </row>
    <row r="15" spans="1:8" x14ac:dyDescent="0.25">
      <c r="A15" t="s">
        <v>35</v>
      </c>
      <c r="B15" t="s">
        <v>36</v>
      </c>
      <c r="C15">
        <v>2</v>
      </c>
      <c r="D15">
        <v>51000</v>
      </c>
      <c r="E15">
        <f>[1]!Repayment[[#This Row],[amount_due]]</f>
        <v>51000</v>
      </c>
      <c r="F15" t="s">
        <v>10</v>
      </c>
      <c r="G15">
        <f>IF(Repayment3[[#This Row],[payment_status]]="Full",0,IF(Repayment3[[#This Row],[payment_status]]="Partial",0.5,1))</f>
        <v>0</v>
      </c>
    </row>
    <row r="16" spans="1:8" x14ac:dyDescent="0.25">
      <c r="A16" t="s">
        <v>37</v>
      </c>
      <c r="B16" t="s">
        <v>38</v>
      </c>
      <c r="C16">
        <v>2</v>
      </c>
      <c r="D16">
        <v>71400</v>
      </c>
      <c r="E16">
        <f>[1]!Repayment[[#This Row],[amount_due]]</f>
        <v>71400</v>
      </c>
      <c r="F16" t="s">
        <v>10</v>
      </c>
      <c r="G16">
        <f>IF(Repayment3[[#This Row],[payment_status]]="Full",0,IF(Repayment3[[#This Row],[payment_status]]="Partial",0.5,1))</f>
        <v>0</v>
      </c>
    </row>
    <row r="17" spans="1:7" x14ac:dyDescent="0.25">
      <c r="A17" t="s">
        <v>39</v>
      </c>
      <c r="B17" t="s">
        <v>40</v>
      </c>
      <c r="C17">
        <v>2</v>
      </c>
      <c r="D17">
        <v>15300</v>
      </c>
      <c r="E17">
        <f>[1]!Repayment[[#This Row],[amount_due]]</f>
        <v>15300</v>
      </c>
      <c r="F17" t="s">
        <v>10</v>
      </c>
      <c r="G17">
        <f>IF(Repayment3[[#This Row],[payment_status]]="Full",0,IF(Repayment3[[#This Row],[payment_status]]="Partial",0.5,1))</f>
        <v>0</v>
      </c>
    </row>
    <row r="18" spans="1:7" x14ac:dyDescent="0.25">
      <c r="A18" t="s">
        <v>41</v>
      </c>
      <c r="B18" t="s">
        <v>42</v>
      </c>
      <c r="C18">
        <v>2</v>
      </c>
      <c r="D18">
        <v>40800</v>
      </c>
      <c r="E18">
        <f>[1]!Repayment[[#This Row],[amount_due]]</f>
        <v>40800</v>
      </c>
      <c r="F18" t="s">
        <v>10</v>
      </c>
      <c r="G18">
        <f>IF(Repayment3[[#This Row],[payment_status]]="Full",0,IF(Repayment3[[#This Row],[payment_status]]="Partial",0.5,1))</f>
        <v>0</v>
      </c>
    </row>
    <row r="19" spans="1:7" x14ac:dyDescent="0.25">
      <c r="A19" t="s">
        <v>43</v>
      </c>
      <c r="B19" t="s">
        <v>44</v>
      </c>
      <c r="C19">
        <v>2</v>
      </c>
      <c r="D19">
        <v>28900</v>
      </c>
      <c r="E19">
        <f>[1]!Repayment[[#This Row],[amount_due]]</f>
        <v>28900</v>
      </c>
      <c r="F19" t="s">
        <v>10</v>
      </c>
      <c r="G19">
        <f>IF(Repayment3[[#This Row],[payment_status]]="Full",0,IF(Repayment3[[#This Row],[payment_status]]="Partial",0.5,1))</f>
        <v>0</v>
      </c>
    </row>
    <row r="20" spans="1:7" x14ac:dyDescent="0.25">
      <c r="A20" t="s">
        <v>45</v>
      </c>
      <c r="B20" t="s">
        <v>46</v>
      </c>
      <c r="C20">
        <v>2</v>
      </c>
      <c r="D20">
        <v>35700</v>
      </c>
      <c r="E20">
        <f>[1]!Repayment[[#This Row],[amount_due]]</f>
        <v>35700</v>
      </c>
      <c r="F20" t="s">
        <v>10</v>
      </c>
      <c r="G20">
        <f>IF(Repayment3[[#This Row],[payment_status]]="Full",0,IF(Repayment3[[#This Row],[payment_status]]="Partial",0.5,1))</f>
        <v>0</v>
      </c>
    </row>
    <row r="21" spans="1:7" x14ac:dyDescent="0.25">
      <c r="A21" t="s">
        <v>47</v>
      </c>
      <c r="B21" t="s">
        <v>48</v>
      </c>
      <c r="C21">
        <v>2</v>
      </c>
      <c r="D21">
        <v>39100</v>
      </c>
      <c r="E21">
        <f>[1]!Repayment[[#This Row],[amount_due]]</f>
        <v>39100</v>
      </c>
      <c r="F21" t="s">
        <v>10</v>
      </c>
      <c r="G21">
        <f>IF(Repayment3[[#This Row],[payment_status]]="Full",0,IF(Repayment3[[#This Row],[payment_status]]="Partial",0.5,1))</f>
        <v>0</v>
      </c>
    </row>
    <row r="22" spans="1:7" x14ac:dyDescent="0.25">
      <c r="A22" t="s">
        <v>49</v>
      </c>
      <c r="B22" t="s">
        <v>50</v>
      </c>
      <c r="C22">
        <v>2</v>
      </c>
      <c r="D22">
        <v>10200</v>
      </c>
      <c r="E22">
        <f>[1]!Repayment[[#This Row],[amount_due]]</f>
        <v>10200</v>
      </c>
      <c r="F22" t="s">
        <v>10</v>
      </c>
      <c r="G22">
        <f>IF(Repayment3[[#This Row],[payment_status]]="Full",0,IF(Repayment3[[#This Row],[payment_status]]="Partial",0.5,1))</f>
        <v>0</v>
      </c>
    </row>
    <row r="23" spans="1:7" x14ac:dyDescent="0.25">
      <c r="A23" t="s">
        <v>51</v>
      </c>
      <c r="B23" t="s">
        <v>52</v>
      </c>
      <c r="C23">
        <v>2</v>
      </c>
      <c r="D23">
        <v>30600</v>
      </c>
      <c r="E23">
        <f>[1]!Repayment[[#This Row],[amount_due]]</f>
        <v>30600</v>
      </c>
      <c r="F23" t="s">
        <v>10</v>
      </c>
      <c r="G23">
        <f>IF(Repayment3[[#This Row],[payment_status]]="Full",0,IF(Repayment3[[#This Row],[payment_status]]="Partial",0.5,1))</f>
        <v>0</v>
      </c>
    </row>
    <row r="24" spans="1:7" x14ac:dyDescent="0.25">
      <c r="A24" t="s">
        <v>53</v>
      </c>
      <c r="B24" t="s">
        <v>54</v>
      </c>
      <c r="C24">
        <v>2</v>
      </c>
      <c r="D24">
        <v>69700</v>
      </c>
      <c r="E24">
        <f>[1]!Repayment[[#This Row],[amount_due]]</f>
        <v>69700</v>
      </c>
      <c r="F24" t="s">
        <v>10</v>
      </c>
      <c r="G24">
        <f>IF(Repayment3[[#This Row],[payment_status]]="Full",0,IF(Repayment3[[#This Row],[payment_status]]="Partial",0.5,1))</f>
        <v>0</v>
      </c>
    </row>
    <row r="25" spans="1:7" x14ac:dyDescent="0.25">
      <c r="A25" t="s">
        <v>55</v>
      </c>
      <c r="B25" t="s">
        <v>56</v>
      </c>
      <c r="C25">
        <v>2</v>
      </c>
      <c r="D25">
        <v>30600</v>
      </c>
      <c r="E25">
        <f>[1]!Repayment[[#This Row],[amount_due]]</f>
        <v>30600</v>
      </c>
      <c r="F25" t="s">
        <v>10</v>
      </c>
      <c r="G25">
        <f>IF(Repayment3[[#This Row],[payment_status]]="Full",0,IF(Repayment3[[#This Row],[payment_status]]="Partial",0.5,1))</f>
        <v>0</v>
      </c>
    </row>
    <row r="26" spans="1:7" x14ac:dyDescent="0.25">
      <c r="A26" t="s">
        <v>57</v>
      </c>
      <c r="B26" t="s">
        <v>58</v>
      </c>
      <c r="C26">
        <v>2</v>
      </c>
      <c r="D26">
        <v>6800</v>
      </c>
      <c r="E26">
        <f>[1]!Repayment[[#This Row],[amount_due]]</f>
        <v>6800</v>
      </c>
      <c r="F26" t="s">
        <v>10</v>
      </c>
      <c r="G26">
        <f>IF(Repayment3[[#This Row],[payment_status]]="Full",0,IF(Repayment3[[#This Row],[payment_status]]="Partial",0.5,1))</f>
        <v>0</v>
      </c>
    </row>
    <row r="27" spans="1:7" x14ac:dyDescent="0.25">
      <c r="A27" t="s">
        <v>59</v>
      </c>
      <c r="B27" t="s">
        <v>60</v>
      </c>
      <c r="C27">
        <v>2</v>
      </c>
      <c r="D27">
        <v>85000</v>
      </c>
      <c r="E27">
        <f>[1]!Repayment[[#This Row],[amount_due]]</f>
        <v>85000</v>
      </c>
      <c r="F27" t="s">
        <v>10</v>
      </c>
      <c r="G27">
        <f>IF(Repayment3[[#This Row],[payment_status]]="Full",0,IF(Repayment3[[#This Row],[payment_status]]="Partial",0.5,1))</f>
        <v>0</v>
      </c>
    </row>
    <row r="28" spans="1:7" x14ac:dyDescent="0.25">
      <c r="A28" t="s">
        <v>61</v>
      </c>
      <c r="B28" t="s">
        <v>62</v>
      </c>
      <c r="C28">
        <v>2</v>
      </c>
      <c r="D28">
        <v>56100</v>
      </c>
      <c r="E28">
        <f>[1]!Repayment[[#This Row],[amount_due]]</f>
        <v>56100</v>
      </c>
      <c r="F28" t="s">
        <v>10</v>
      </c>
      <c r="G28">
        <f>IF(Repayment3[[#This Row],[payment_status]]="Full",0,IF(Repayment3[[#This Row],[payment_status]]="Partial",0.5,1))</f>
        <v>0</v>
      </c>
    </row>
    <row r="29" spans="1:7" x14ac:dyDescent="0.25">
      <c r="A29" t="s">
        <v>63</v>
      </c>
      <c r="B29" t="s">
        <v>64</v>
      </c>
      <c r="C29">
        <v>2</v>
      </c>
      <c r="D29">
        <v>34000</v>
      </c>
      <c r="E29">
        <f>[1]!Repayment[[#This Row],[amount_due]]</f>
        <v>34000</v>
      </c>
      <c r="F29" t="s">
        <v>10</v>
      </c>
      <c r="G29">
        <f>IF(Repayment3[[#This Row],[payment_status]]="Full",0,IF(Repayment3[[#This Row],[payment_status]]="Partial",0.5,1))</f>
        <v>0</v>
      </c>
    </row>
    <row r="30" spans="1:7" x14ac:dyDescent="0.25">
      <c r="A30" t="s">
        <v>65</v>
      </c>
      <c r="B30" t="s">
        <v>66</v>
      </c>
      <c r="C30">
        <v>2</v>
      </c>
      <c r="D30">
        <v>11900</v>
      </c>
      <c r="E30">
        <f>[1]!Repayment[[#This Row],[amount_due]]</f>
        <v>11900</v>
      </c>
      <c r="F30" t="s">
        <v>10</v>
      </c>
      <c r="G30">
        <f>IF(Repayment3[[#This Row],[payment_status]]="Full",0,IF(Repayment3[[#This Row],[payment_status]]="Partial",0.5,1))</f>
        <v>0</v>
      </c>
    </row>
    <row r="31" spans="1:7" x14ac:dyDescent="0.25">
      <c r="A31" t="s">
        <v>67</v>
      </c>
      <c r="B31" t="s">
        <v>68</v>
      </c>
      <c r="C31">
        <v>2</v>
      </c>
      <c r="D31">
        <v>35700</v>
      </c>
      <c r="E31">
        <f>[1]!Repayment[[#This Row],[amount_due]]</f>
        <v>35700</v>
      </c>
      <c r="F31" t="s">
        <v>10</v>
      </c>
      <c r="G31">
        <f>IF(Repayment3[[#This Row],[payment_status]]="Full",0,IF(Repayment3[[#This Row],[payment_status]]="Partial",0.5,1))</f>
        <v>0</v>
      </c>
    </row>
    <row r="32" spans="1:7" x14ac:dyDescent="0.25">
      <c r="A32" t="s">
        <v>69</v>
      </c>
      <c r="B32" t="s">
        <v>70</v>
      </c>
      <c r="C32">
        <v>2</v>
      </c>
      <c r="D32">
        <v>30600</v>
      </c>
      <c r="E32">
        <f>[1]!Repayment[[#This Row],[amount_due]]</f>
        <v>30600</v>
      </c>
      <c r="F32" t="s">
        <v>10</v>
      </c>
      <c r="G32">
        <f>IF(Repayment3[[#This Row],[payment_status]]="Full",0,IF(Repayment3[[#This Row],[payment_status]]="Partial",0.5,1))</f>
        <v>0</v>
      </c>
    </row>
    <row r="33" spans="1:7" x14ac:dyDescent="0.25">
      <c r="A33" t="s">
        <v>71</v>
      </c>
      <c r="B33" t="s">
        <v>72</v>
      </c>
      <c r="C33">
        <v>2</v>
      </c>
      <c r="D33">
        <v>79900</v>
      </c>
      <c r="E33">
        <f>[1]!Repayment[[#This Row],[amount_due]]</f>
        <v>79900</v>
      </c>
      <c r="F33" t="s">
        <v>10</v>
      </c>
      <c r="G33">
        <f>IF(Repayment3[[#This Row],[payment_status]]="Full",0,IF(Repayment3[[#This Row],[payment_status]]="Partial",0.5,1))</f>
        <v>0</v>
      </c>
    </row>
    <row r="34" spans="1:7" x14ac:dyDescent="0.25">
      <c r="A34" t="s">
        <v>73</v>
      </c>
      <c r="B34" t="s">
        <v>74</v>
      </c>
      <c r="C34">
        <v>2</v>
      </c>
      <c r="D34">
        <v>23800</v>
      </c>
      <c r="E34">
        <f>[1]!Repayment[[#This Row],[amount_due]]</f>
        <v>23800</v>
      </c>
      <c r="F34" t="s">
        <v>10</v>
      </c>
      <c r="G34">
        <f>IF(Repayment3[[#This Row],[payment_status]]="Full",0,IF(Repayment3[[#This Row],[payment_status]]="Partial",0.5,1))</f>
        <v>0</v>
      </c>
    </row>
    <row r="35" spans="1:7" x14ac:dyDescent="0.25">
      <c r="A35" t="s">
        <v>75</v>
      </c>
      <c r="B35" t="s">
        <v>76</v>
      </c>
      <c r="C35">
        <v>2</v>
      </c>
      <c r="D35">
        <v>13600</v>
      </c>
      <c r="E35">
        <f>[1]!Repayment[[#This Row],[amount_due]]</f>
        <v>13600</v>
      </c>
      <c r="F35" t="s">
        <v>10</v>
      </c>
      <c r="G35">
        <f>IF(Repayment3[[#This Row],[payment_status]]="Full",0,IF(Repayment3[[#This Row],[payment_status]]="Partial",0.5,1))</f>
        <v>0</v>
      </c>
    </row>
    <row r="36" spans="1:7" x14ac:dyDescent="0.25">
      <c r="A36" t="s">
        <v>77</v>
      </c>
      <c r="B36" t="s">
        <v>78</v>
      </c>
      <c r="C36">
        <v>2</v>
      </c>
      <c r="D36">
        <v>18700</v>
      </c>
      <c r="E36">
        <f>[1]!Repayment[[#This Row],[amount_due]]</f>
        <v>18700</v>
      </c>
      <c r="F36" t="s">
        <v>10</v>
      </c>
      <c r="G36">
        <f>IF(Repayment3[[#This Row],[payment_status]]="Full",0,IF(Repayment3[[#This Row],[payment_status]]="Partial",0.5,1))</f>
        <v>0</v>
      </c>
    </row>
    <row r="37" spans="1:7" x14ac:dyDescent="0.25">
      <c r="A37" t="s">
        <v>79</v>
      </c>
      <c r="B37" t="s">
        <v>80</v>
      </c>
      <c r="C37">
        <v>2</v>
      </c>
      <c r="D37">
        <v>59500</v>
      </c>
      <c r="E37">
        <f>[1]!Repayment[[#This Row],[amount_due]]</f>
        <v>59500</v>
      </c>
      <c r="F37" t="s">
        <v>10</v>
      </c>
      <c r="G37">
        <f>IF(Repayment3[[#This Row],[payment_status]]="Full",0,IF(Repayment3[[#This Row],[payment_status]]="Partial",0.5,1))</f>
        <v>0</v>
      </c>
    </row>
    <row r="38" spans="1:7" x14ac:dyDescent="0.25">
      <c r="A38" t="s">
        <v>81</v>
      </c>
      <c r="B38" t="s">
        <v>82</v>
      </c>
      <c r="C38">
        <v>2</v>
      </c>
      <c r="D38">
        <v>76500</v>
      </c>
      <c r="E38">
        <f>[1]!Repayment[[#This Row],[amount_due]]</f>
        <v>76500</v>
      </c>
      <c r="F38" t="s">
        <v>10</v>
      </c>
      <c r="G38">
        <f>IF(Repayment3[[#This Row],[payment_status]]="Full",0,IF(Repayment3[[#This Row],[payment_status]]="Partial",0.5,1))</f>
        <v>0</v>
      </c>
    </row>
    <row r="39" spans="1:7" x14ac:dyDescent="0.25">
      <c r="A39" t="s">
        <v>83</v>
      </c>
      <c r="B39" t="s">
        <v>84</v>
      </c>
      <c r="C39">
        <v>2</v>
      </c>
      <c r="D39">
        <v>47600</v>
      </c>
      <c r="E39">
        <f>[1]!Repayment[[#This Row],[amount_due]]</f>
        <v>47600</v>
      </c>
      <c r="F39" t="s">
        <v>10</v>
      </c>
      <c r="G39">
        <f>IF(Repayment3[[#This Row],[payment_status]]="Full",0,IF(Repayment3[[#This Row],[payment_status]]="Partial",0.5,1))</f>
        <v>0</v>
      </c>
    </row>
    <row r="40" spans="1:7" x14ac:dyDescent="0.25">
      <c r="A40" t="s">
        <v>85</v>
      </c>
      <c r="B40" t="s">
        <v>86</v>
      </c>
      <c r="C40">
        <v>2</v>
      </c>
      <c r="D40">
        <v>22100</v>
      </c>
      <c r="E40">
        <f>[1]!Repayment[[#This Row],[amount_due]]</f>
        <v>22100</v>
      </c>
      <c r="F40" t="s">
        <v>10</v>
      </c>
      <c r="G40">
        <f>IF(Repayment3[[#This Row],[payment_status]]="Full",0,IF(Repayment3[[#This Row],[payment_status]]="Partial",0.5,1))</f>
        <v>0</v>
      </c>
    </row>
    <row r="41" spans="1:7" x14ac:dyDescent="0.25">
      <c r="A41" t="s">
        <v>87</v>
      </c>
      <c r="B41" t="s">
        <v>88</v>
      </c>
      <c r="C41">
        <v>2</v>
      </c>
      <c r="D41">
        <v>10200</v>
      </c>
      <c r="E41">
        <f>[1]!Repayment[[#This Row],[amount_due]]</f>
        <v>10200</v>
      </c>
      <c r="F41" t="s">
        <v>10</v>
      </c>
      <c r="G41">
        <f>IF(Repayment3[[#This Row],[payment_status]]="Full",0,IF(Repayment3[[#This Row],[payment_status]]="Partial",0.5,1))</f>
        <v>0</v>
      </c>
    </row>
    <row r="42" spans="1:7" x14ac:dyDescent="0.25">
      <c r="A42" t="s">
        <v>89</v>
      </c>
      <c r="B42" t="s">
        <v>90</v>
      </c>
      <c r="C42">
        <v>2</v>
      </c>
      <c r="D42">
        <v>54400</v>
      </c>
      <c r="E42">
        <f>[1]!Repayment[[#This Row],[amount_due]]</f>
        <v>54400</v>
      </c>
      <c r="F42" t="s">
        <v>10</v>
      </c>
      <c r="G42">
        <f>IF(Repayment3[[#This Row],[payment_status]]="Full",0,IF(Repayment3[[#This Row],[payment_status]]="Partial",0.5,1))</f>
        <v>0</v>
      </c>
    </row>
    <row r="43" spans="1:7" x14ac:dyDescent="0.25">
      <c r="A43" t="s">
        <v>91</v>
      </c>
      <c r="B43" t="s">
        <v>92</v>
      </c>
      <c r="C43">
        <v>2</v>
      </c>
      <c r="D43">
        <v>30600</v>
      </c>
      <c r="E43">
        <f>[1]!Repayment[[#This Row],[amount_due]]</f>
        <v>30600</v>
      </c>
      <c r="F43" t="s">
        <v>10</v>
      </c>
      <c r="G43">
        <f>IF(Repayment3[[#This Row],[payment_status]]="Full",0,IF(Repayment3[[#This Row],[payment_status]]="Partial",0.5,1))</f>
        <v>0</v>
      </c>
    </row>
    <row r="44" spans="1:7" x14ac:dyDescent="0.25">
      <c r="A44" t="s">
        <v>93</v>
      </c>
      <c r="B44" t="s">
        <v>94</v>
      </c>
      <c r="C44">
        <v>2</v>
      </c>
      <c r="D44">
        <v>54400</v>
      </c>
      <c r="E44">
        <f>[1]!Repayment[[#This Row],[amount_due]]</f>
        <v>54400</v>
      </c>
      <c r="F44" t="s">
        <v>10</v>
      </c>
      <c r="G44">
        <f>IF(Repayment3[[#This Row],[payment_status]]="Full",0,IF(Repayment3[[#This Row],[payment_status]]="Partial",0.5,1))</f>
        <v>0</v>
      </c>
    </row>
    <row r="45" spans="1:7" x14ac:dyDescent="0.25">
      <c r="A45" t="s">
        <v>95</v>
      </c>
      <c r="B45" t="s">
        <v>96</v>
      </c>
      <c r="C45">
        <v>2</v>
      </c>
      <c r="D45">
        <v>23800</v>
      </c>
      <c r="E45">
        <f>[1]!Repayment[[#This Row],[amount_due]]</f>
        <v>23800</v>
      </c>
      <c r="F45" t="s">
        <v>10</v>
      </c>
      <c r="G45">
        <f>IF(Repayment3[[#This Row],[payment_status]]="Full",0,IF(Repayment3[[#This Row],[payment_status]]="Partial",0.5,1))</f>
        <v>0</v>
      </c>
    </row>
    <row r="46" spans="1:7" x14ac:dyDescent="0.25">
      <c r="A46" t="s">
        <v>97</v>
      </c>
      <c r="B46" t="s">
        <v>98</v>
      </c>
      <c r="C46">
        <v>2</v>
      </c>
      <c r="D46">
        <v>15300</v>
      </c>
      <c r="E46">
        <f>[1]!Repayment[[#This Row],[amount_due]]</f>
        <v>15300</v>
      </c>
      <c r="F46" t="s">
        <v>10</v>
      </c>
      <c r="G46">
        <f>IF(Repayment3[[#This Row],[payment_status]]="Full",0,IF(Repayment3[[#This Row],[payment_status]]="Partial",0.5,1))</f>
        <v>0</v>
      </c>
    </row>
    <row r="47" spans="1:7" x14ac:dyDescent="0.25">
      <c r="A47" t="s">
        <v>99</v>
      </c>
      <c r="B47" t="s">
        <v>100</v>
      </c>
      <c r="C47">
        <v>2</v>
      </c>
      <c r="D47">
        <v>79900</v>
      </c>
      <c r="E47">
        <f>[1]!Repayment[[#This Row],[amount_due]]</f>
        <v>79900</v>
      </c>
      <c r="F47" t="s">
        <v>10</v>
      </c>
      <c r="G47">
        <f>IF(Repayment3[[#This Row],[payment_status]]="Full",0,IF(Repayment3[[#This Row],[payment_status]]="Partial",0.5,1))</f>
        <v>0</v>
      </c>
    </row>
    <row r="48" spans="1:7" x14ac:dyDescent="0.25">
      <c r="A48" t="s">
        <v>101</v>
      </c>
      <c r="B48" t="s">
        <v>102</v>
      </c>
      <c r="C48">
        <v>2</v>
      </c>
      <c r="D48">
        <v>30600</v>
      </c>
      <c r="E48">
        <f>[1]!Repayment[[#This Row],[amount_due]]</f>
        <v>30600</v>
      </c>
      <c r="F48" t="s">
        <v>10</v>
      </c>
      <c r="G48">
        <f>IF(Repayment3[[#This Row],[payment_status]]="Full",0,IF(Repayment3[[#This Row],[payment_status]]="Partial",0.5,1))</f>
        <v>0</v>
      </c>
    </row>
    <row r="49" spans="1:7" x14ac:dyDescent="0.25">
      <c r="A49" t="s">
        <v>103</v>
      </c>
      <c r="B49" t="s">
        <v>104</v>
      </c>
      <c r="C49">
        <v>2</v>
      </c>
      <c r="D49">
        <v>54400</v>
      </c>
      <c r="E49">
        <f>[1]!Repayment[[#This Row],[amount_due]]</f>
        <v>54400</v>
      </c>
      <c r="F49" t="s">
        <v>10</v>
      </c>
      <c r="G49">
        <f>IF(Repayment3[[#This Row],[payment_status]]="Full",0,IF(Repayment3[[#This Row],[payment_status]]="Partial",0.5,1))</f>
        <v>0</v>
      </c>
    </row>
    <row r="50" spans="1:7" x14ac:dyDescent="0.25">
      <c r="A50" t="s">
        <v>105</v>
      </c>
      <c r="B50" t="s">
        <v>106</v>
      </c>
      <c r="C50">
        <v>2</v>
      </c>
      <c r="D50">
        <v>71400</v>
      </c>
      <c r="E50">
        <f>[1]!Repayment[[#This Row],[amount_due]]</f>
        <v>71400</v>
      </c>
      <c r="F50" t="s">
        <v>10</v>
      </c>
      <c r="G50">
        <f>IF(Repayment3[[#This Row],[payment_status]]="Full",0,IF(Repayment3[[#This Row],[payment_status]]="Partial",0.5,1))</f>
        <v>0</v>
      </c>
    </row>
    <row r="51" spans="1:7" x14ac:dyDescent="0.25">
      <c r="A51" t="s">
        <v>107</v>
      </c>
      <c r="B51" t="s">
        <v>108</v>
      </c>
      <c r="C51">
        <v>2</v>
      </c>
      <c r="D51">
        <v>10200</v>
      </c>
      <c r="E51">
        <f>[1]!Repayment[[#This Row],[amount_due]]</f>
        <v>10200</v>
      </c>
      <c r="F51" t="s">
        <v>10</v>
      </c>
      <c r="G51">
        <f>IF(Repayment3[[#This Row],[payment_status]]="Full",0,IF(Repayment3[[#This Row],[payment_status]]="Partial",0.5,1))</f>
        <v>0</v>
      </c>
    </row>
    <row r="52" spans="1:7" x14ac:dyDescent="0.25">
      <c r="A52" t="s">
        <v>109</v>
      </c>
      <c r="B52" t="s">
        <v>110</v>
      </c>
      <c r="C52">
        <v>2</v>
      </c>
      <c r="D52">
        <v>40800</v>
      </c>
      <c r="E52">
        <f>[1]!Repayment[[#This Row],[amount_due]]</f>
        <v>40800</v>
      </c>
      <c r="F52" t="s">
        <v>10</v>
      </c>
      <c r="G52">
        <f>IF(Repayment3[[#This Row],[payment_status]]="Full",0,IF(Repayment3[[#This Row],[payment_status]]="Partial",0.5,1))</f>
        <v>0</v>
      </c>
    </row>
    <row r="53" spans="1:7" x14ac:dyDescent="0.25">
      <c r="A53" t="s">
        <v>111</v>
      </c>
      <c r="B53" t="s">
        <v>112</v>
      </c>
      <c r="C53">
        <v>2</v>
      </c>
      <c r="D53">
        <v>6800</v>
      </c>
      <c r="E53">
        <f>[1]!Repayment[[#This Row],[amount_due]]</f>
        <v>6800</v>
      </c>
      <c r="F53" t="s">
        <v>10</v>
      </c>
      <c r="G53">
        <f>IF(Repayment3[[#This Row],[payment_status]]="Full",0,IF(Repayment3[[#This Row],[payment_status]]="Partial",0.5,1))</f>
        <v>0</v>
      </c>
    </row>
    <row r="54" spans="1:7" x14ac:dyDescent="0.25">
      <c r="A54" t="s">
        <v>113</v>
      </c>
      <c r="B54" t="s">
        <v>114</v>
      </c>
      <c r="C54">
        <v>2</v>
      </c>
      <c r="D54">
        <v>11900</v>
      </c>
      <c r="E54">
        <f>[1]!Repayment[[#This Row],[amount_due]]</f>
        <v>11900</v>
      </c>
      <c r="F54" t="s">
        <v>10</v>
      </c>
      <c r="G54">
        <f>IF(Repayment3[[#This Row],[payment_status]]="Full",0,IF(Repayment3[[#This Row],[payment_status]]="Partial",0.5,1))</f>
        <v>0</v>
      </c>
    </row>
    <row r="55" spans="1:7" x14ac:dyDescent="0.25">
      <c r="A55" t="s">
        <v>115</v>
      </c>
      <c r="B55" t="s">
        <v>116</v>
      </c>
      <c r="C55">
        <v>2</v>
      </c>
      <c r="D55">
        <v>54400</v>
      </c>
      <c r="E55">
        <f>[1]!Repayment[[#This Row],[amount_due]]</f>
        <v>54400</v>
      </c>
      <c r="F55" t="s">
        <v>10</v>
      </c>
      <c r="G55">
        <f>IF(Repayment3[[#This Row],[payment_status]]="Full",0,IF(Repayment3[[#This Row],[payment_status]]="Partial",0.5,1))</f>
        <v>0</v>
      </c>
    </row>
    <row r="56" spans="1:7" x14ac:dyDescent="0.25">
      <c r="A56" t="s">
        <v>117</v>
      </c>
      <c r="B56" t="s">
        <v>118</v>
      </c>
      <c r="C56">
        <v>2</v>
      </c>
      <c r="D56">
        <v>42500</v>
      </c>
      <c r="E56">
        <f>[1]!Repayment[[#This Row],[amount_due]]</f>
        <v>42500</v>
      </c>
      <c r="F56" t="s">
        <v>10</v>
      </c>
      <c r="G56">
        <f>IF(Repayment3[[#This Row],[payment_status]]="Full",0,IF(Repayment3[[#This Row],[payment_status]]="Partial",0.5,1))</f>
        <v>0</v>
      </c>
    </row>
    <row r="57" spans="1:7" x14ac:dyDescent="0.25">
      <c r="A57" t="s">
        <v>119</v>
      </c>
      <c r="B57" t="s">
        <v>120</v>
      </c>
      <c r="C57">
        <v>2</v>
      </c>
      <c r="D57">
        <v>69700</v>
      </c>
      <c r="E57">
        <f>[1]!Repayment[[#This Row],[amount_due]]</f>
        <v>69700</v>
      </c>
      <c r="F57" t="s">
        <v>10</v>
      </c>
      <c r="G57">
        <f>IF(Repayment3[[#This Row],[payment_status]]="Full",0,IF(Repayment3[[#This Row],[payment_status]]="Partial",0.5,1))</f>
        <v>0</v>
      </c>
    </row>
    <row r="58" spans="1:7" x14ac:dyDescent="0.25">
      <c r="A58" t="s">
        <v>121</v>
      </c>
      <c r="B58" t="s">
        <v>122</v>
      </c>
      <c r="C58">
        <v>2</v>
      </c>
      <c r="D58">
        <v>27200</v>
      </c>
      <c r="E58">
        <f>[1]!Repayment[[#This Row],[amount_due]]</f>
        <v>27200</v>
      </c>
      <c r="F58" t="s">
        <v>10</v>
      </c>
      <c r="G58">
        <f>IF(Repayment3[[#This Row],[payment_status]]="Full",0,IF(Repayment3[[#This Row],[payment_status]]="Partial",0.5,1))</f>
        <v>0</v>
      </c>
    </row>
    <row r="59" spans="1:7" x14ac:dyDescent="0.25">
      <c r="A59" t="s">
        <v>123</v>
      </c>
      <c r="B59" t="s">
        <v>124</v>
      </c>
      <c r="C59">
        <v>2</v>
      </c>
      <c r="D59">
        <v>57800</v>
      </c>
      <c r="E59">
        <f>[1]!Repayment[[#This Row],[amount_due]]</f>
        <v>57800</v>
      </c>
      <c r="F59" t="s">
        <v>10</v>
      </c>
      <c r="G59">
        <f>IF(Repayment3[[#This Row],[payment_status]]="Full",0,IF(Repayment3[[#This Row],[payment_status]]="Partial",0.5,1))</f>
        <v>0</v>
      </c>
    </row>
    <row r="60" spans="1:7" x14ac:dyDescent="0.25">
      <c r="A60" t="s">
        <v>125</v>
      </c>
      <c r="B60" t="s">
        <v>126</v>
      </c>
      <c r="C60">
        <v>2</v>
      </c>
      <c r="D60">
        <v>51000</v>
      </c>
      <c r="E60">
        <f>[1]!Repayment[[#This Row],[amount_due]]</f>
        <v>51000</v>
      </c>
      <c r="F60" t="s">
        <v>10</v>
      </c>
      <c r="G60">
        <f>IF(Repayment3[[#This Row],[payment_status]]="Full",0,IF(Repayment3[[#This Row],[payment_status]]="Partial",0.5,1))</f>
        <v>0</v>
      </c>
    </row>
    <row r="61" spans="1:7" x14ac:dyDescent="0.25">
      <c r="A61" t="s">
        <v>127</v>
      </c>
      <c r="B61" t="s">
        <v>128</v>
      </c>
      <c r="C61">
        <v>2</v>
      </c>
      <c r="D61">
        <v>37400</v>
      </c>
      <c r="E61">
        <f>[1]!Repayment[[#This Row],[amount_due]]</f>
        <v>37400</v>
      </c>
      <c r="F61" t="s">
        <v>10</v>
      </c>
      <c r="G61">
        <f>IF(Repayment3[[#This Row],[payment_status]]="Full",0,IF(Repayment3[[#This Row],[payment_status]]="Partial",0.5,1))</f>
        <v>0</v>
      </c>
    </row>
    <row r="62" spans="1:7" x14ac:dyDescent="0.25">
      <c r="A62" t="s">
        <v>129</v>
      </c>
      <c r="B62" t="s">
        <v>130</v>
      </c>
      <c r="C62">
        <v>2</v>
      </c>
      <c r="D62">
        <v>20400</v>
      </c>
      <c r="E62">
        <f>[1]!Repayment[[#This Row],[amount_due]]</f>
        <v>20400</v>
      </c>
      <c r="F62" t="s">
        <v>10</v>
      </c>
      <c r="G62">
        <f>IF(Repayment3[[#This Row],[payment_status]]="Full",0,IF(Repayment3[[#This Row],[payment_status]]="Partial",0.5,1))</f>
        <v>0</v>
      </c>
    </row>
    <row r="63" spans="1:7" x14ac:dyDescent="0.25">
      <c r="A63" t="s">
        <v>131</v>
      </c>
      <c r="B63" t="s">
        <v>132</v>
      </c>
      <c r="C63">
        <v>2</v>
      </c>
      <c r="D63">
        <v>32300</v>
      </c>
      <c r="E63">
        <f>[1]!Repayment[[#This Row],[amount_due]]</f>
        <v>32300</v>
      </c>
      <c r="F63" t="s">
        <v>10</v>
      </c>
      <c r="G63">
        <f>IF(Repayment3[[#This Row],[payment_status]]="Full",0,IF(Repayment3[[#This Row],[payment_status]]="Partial",0.5,1))</f>
        <v>0</v>
      </c>
    </row>
    <row r="64" spans="1:7" x14ac:dyDescent="0.25">
      <c r="A64" t="s">
        <v>133</v>
      </c>
      <c r="B64" t="s">
        <v>134</v>
      </c>
      <c r="C64">
        <v>2</v>
      </c>
      <c r="D64">
        <v>39100</v>
      </c>
      <c r="E64">
        <f>[1]!Repayment[[#This Row],[amount_due]]</f>
        <v>39100</v>
      </c>
      <c r="F64" t="s">
        <v>10</v>
      </c>
      <c r="G64">
        <f>IF(Repayment3[[#This Row],[payment_status]]="Full",0,IF(Repayment3[[#This Row],[payment_status]]="Partial",0.5,1))</f>
        <v>0</v>
      </c>
    </row>
    <row r="65" spans="1:7" x14ac:dyDescent="0.25">
      <c r="A65" t="s">
        <v>135</v>
      </c>
      <c r="B65" t="s">
        <v>136</v>
      </c>
      <c r="C65">
        <v>2</v>
      </c>
      <c r="D65">
        <v>13600</v>
      </c>
      <c r="E65">
        <f>[1]!Repayment[[#This Row],[amount_due]]</f>
        <v>13600</v>
      </c>
      <c r="F65" t="s">
        <v>10</v>
      </c>
      <c r="G65">
        <f>IF(Repayment3[[#This Row],[payment_status]]="Full",0,IF(Repayment3[[#This Row],[payment_status]]="Partial",0.5,1))</f>
        <v>0</v>
      </c>
    </row>
    <row r="66" spans="1:7" x14ac:dyDescent="0.25">
      <c r="A66" t="s">
        <v>137</v>
      </c>
      <c r="B66" t="s">
        <v>138</v>
      </c>
      <c r="C66">
        <v>2</v>
      </c>
      <c r="D66">
        <v>8500</v>
      </c>
      <c r="E66">
        <f>[1]!Repayment[[#This Row],[amount_due]]</f>
        <v>8500</v>
      </c>
      <c r="F66" t="s">
        <v>10</v>
      </c>
      <c r="G66">
        <f>IF(Repayment3[[#This Row],[payment_status]]="Full",0,IF(Repayment3[[#This Row],[payment_status]]="Partial",0.5,1))</f>
        <v>0</v>
      </c>
    </row>
    <row r="67" spans="1:7" x14ac:dyDescent="0.25">
      <c r="A67" t="s">
        <v>139</v>
      </c>
      <c r="B67" t="s">
        <v>140</v>
      </c>
      <c r="C67">
        <v>2</v>
      </c>
      <c r="D67">
        <v>40800</v>
      </c>
      <c r="E67">
        <f>[1]!Repayment[[#This Row],[amount_due]]</f>
        <v>40800</v>
      </c>
      <c r="F67" t="s">
        <v>10</v>
      </c>
      <c r="G67">
        <f>IF(Repayment3[[#This Row],[payment_status]]="Full",0,IF(Repayment3[[#This Row],[payment_status]]="Partial",0.5,1))</f>
        <v>0</v>
      </c>
    </row>
    <row r="68" spans="1:7" x14ac:dyDescent="0.25">
      <c r="A68" t="s">
        <v>141</v>
      </c>
      <c r="B68" t="s">
        <v>142</v>
      </c>
      <c r="C68">
        <v>2</v>
      </c>
      <c r="D68">
        <v>20400</v>
      </c>
      <c r="E68">
        <f>[1]!Repayment[[#This Row],[amount_due]]</f>
        <v>20400</v>
      </c>
      <c r="F68" t="s">
        <v>10</v>
      </c>
      <c r="G68">
        <f>IF(Repayment3[[#This Row],[payment_status]]="Full",0,IF(Repayment3[[#This Row],[payment_status]]="Partial",0.5,1))</f>
        <v>0</v>
      </c>
    </row>
    <row r="69" spans="1:7" x14ac:dyDescent="0.25">
      <c r="A69" t="s">
        <v>143</v>
      </c>
      <c r="B69" t="s">
        <v>144</v>
      </c>
      <c r="C69">
        <v>2</v>
      </c>
      <c r="D69">
        <v>30600</v>
      </c>
      <c r="E69">
        <f>[1]!Repayment[[#This Row],[amount_due]]</f>
        <v>30600</v>
      </c>
      <c r="F69" t="s">
        <v>10</v>
      </c>
      <c r="G69">
        <f>IF(Repayment3[[#This Row],[payment_status]]="Full",0,IF(Repayment3[[#This Row],[payment_status]]="Partial",0.5,1))</f>
        <v>0</v>
      </c>
    </row>
    <row r="70" spans="1:7" x14ac:dyDescent="0.25">
      <c r="A70" t="s">
        <v>145</v>
      </c>
      <c r="B70" t="s">
        <v>146</v>
      </c>
      <c r="C70">
        <v>2</v>
      </c>
      <c r="D70">
        <v>52700</v>
      </c>
      <c r="E70">
        <f>[1]!Repayment[[#This Row],[amount_due]]</f>
        <v>52700</v>
      </c>
      <c r="F70" t="s">
        <v>10</v>
      </c>
      <c r="G70">
        <f>IF(Repayment3[[#This Row],[payment_status]]="Full",0,IF(Repayment3[[#This Row],[payment_status]]="Partial",0.5,1))</f>
        <v>0</v>
      </c>
    </row>
    <row r="71" spans="1:7" x14ac:dyDescent="0.25">
      <c r="A71" t="s">
        <v>147</v>
      </c>
      <c r="B71" t="s">
        <v>148</v>
      </c>
      <c r="C71">
        <v>2</v>
      </c>
      <c r="D71">
        <v>57800</v>
      </c>
      <c r="E71">
        <f>[1]!Repayment[[#This Row],[amount_due]]</f>
        <v>57800</v>
      </c>
      <c r="F71" t="s">
        <v>10</v>
      </c>
      <c r="G71">
        <f>IF(Repayment3[[#This Row],[payment_status]]="Full",0,IF(Repayment3[[#This Row],[payment_status]]="Partial",0.5,1))</f>
        <v>0</v>
      </c>
    </row>
    <row r="72" spans="1:7" x14ac:dyDescent="0.25">
      <c r="A72" t="s">
        <v>149</v>
      </c>
      <c r="B72" t="s">
        <v>150</v>
      </c>
      <c r="C72">
        <v>2</v>
      </c>
      <c r="D72">
        <v>15300</v>
      </c>
      <c r="E72">
        <f>[1]!Repayment[[#This Row],[amount_due]]</f>
        <v>15300</v>
      </c>
      <c r="F72" t="s">
        <v>10</v>
      </c>
      <c r="G72">
        <f>IF(Repayment3[[#This Row],[payment_status]]="Full",0,IF(Repayment3[[#This Row],[payment_status]]="Partial",0.5,1))</f>
        <v>0</v>
      </c>
    </row>
    <row r="73" spans="1:7" x14ac:dyDescent="0.25">
      <c r="A73" t="s">
        <v>151</v>
      </c>
      <c r="B73" t="s">
        <v>152</v>
      </c>
      <c r="C73">
        <v>2</v>
      </c>
      <c r="D73">
        <v>23800</v>
      </c>
      <c r="E73">
        <f>[1]!Repayment[[#This Row],[amount_due]]</f>
        <v>23800</v>
      </c>
      <c r="F73" t="s">
        <v>10</v>
      </c>
      <c r="G73">
        <f>IF(Repayment3[[#This Row],[payment_status]]="Full",0,IF(Repayment3[[#This Row],[payment_status]]="Partial",0.5,1))</f>
        <v>0</v>
      </c>
    </row>
    <row r="74" spans="1:7" x14ac:dyDescent="0.25">
      <c r="A74" t="s">
        <v>153</v>
      </c>
      <c r="B74" t="s">
        <v>154</v>
      </c>
      <c r="C74">
        <v>2</v>
      </c>
      <c r="D74">
        <v>51000</v>
      </c>
      <c r="E74">
        <f>[1]!Repayment[[#This Row],[amount_due]]</f>
        <v>51000</v>
      </c>
      <c r="F74" t="s">
        <v>10</v>
      </c>
      <c r="G74">
        <f>IF(Repayment3[[#This Row],[payment_status]]="Full",0,IF(Repayment3[[#This Row],[payment_status]]="Partial",0.5,1))</f>
        <v>0</v>
      </c>
    </row>
    <row r="75" spans="1:7" x14ac:dyDescent="0.25">
      <c r="A75" t="s">
        <v>155</v>
      </c>
      <c r="B75" t="s">
        <v>156</v>
      </c>
      <c r="C75">
        <v>2</v>
      </c>
      <c r="D75">
        <v>35700</v>
      </c>
      <c r="E75">
        <f>[1]!Repayment[[#This Row],[amount_due]]</f>
        <v>35700</v>
      </c>
      <c r="F75" t="s">
        <v>10</v>
      </c>
      <c r="G75">
        <f>IF(Repayment3[[#This Row],[payment_status]]="Full",0,IF(Repayment3[[#This Row],[payment_status]]="Partial",0.5,1))</f>
        <v>0</v>
      </c>
    </row>
    <row r="76" spans="1:7" x14ac:dyDescent="0.25">
      <c r="A76" t="s">
        <v>157</v>
      </c>
      <c r="B76" t="s">
        <v>158</v>
      </c>
      <c r="C76">
        <v>2</v>
      </c>
      <c r="D76">
        <v>68000</v>
      </c>
      <c r="E76">
        <f>[1]!Repayment[[#This Row],[amount_due]]</f>
        <v>68000</v>
      </c>
      <c r="F76" t="s">
        <v>10</v>
      </c>
      <c r="G76">
        <f>IF(Repayment3[[#This Row],[payment_status]]="Full",0,IF(Repayment3[[#This Row],[payment_status]]="Partial",0.5,1))</f>
        <v>0</v>
      </c>
    </row>
    <row r="77" spans="1:7" x14ac:dyDescent="0.25">
      <c r="A77" t="s">
        <v>159</v>
      </c>
      <c r="B77" t="s">
        <v>160</v>
      </c>
      <c r="C77">
        <v>2</v>
      </c>
      <c r="D77">
        <v>13600</v>
      </c>
      <c r="E77">
        <f>[1]!Repayment[[#This Row],[amount_due]]</f>
        <v>13600</v>
      </c>
      <c r="F77" t="s">
        <v>10</v>
      </c>
      <c r="G77">
        <f>IF(Repayment3[[#This Row],[payment_status]]="Full",0,IF(Repayment3[[#This Row],[payment_status]]="Partial",0.5,1))</f>
        <v>0</v>
      </c>
    </row>
    <row r="78" spans="1:7" x14ac:dyDescent="0.25">
      <c r="A78" t="s">
        <v>161</v>
      </c>
      <c r="B78" t="s">
        <v>162</v>
      </c>
      <c r="C78">
        <v>2</v>
      </c>
      <c r="D78">
        <v>34000</v>
      </c>
      <c r="E78">
        <f>[1]!Repayment[[#This Row],[amount_due]]</f>
        <v>34000</v>
      </c>
      <c r="F78" t="s">
        <v>10</v>
      </c>
      <c r="G78">
        <f>IF(Repayment3[[#This Row],[payment_status]]="Full",0,IF(Repayment3[[#This Row],[payment_status]]="Partial",0.5,1))</f>
        <v>0</v>
      </c>
    </row>
    <row r="79" spans="1:7" x14ac:dyDescent="0.25">
      <c r="A79" t="s">
        <v>163</v>
      </c>
      <c r="B79" t="s">
        <v>164</v>
      </c>
      <c r="C79">
        <v>2</v>
      </c>
      <c r="D79">
        <v>76500</v>
      </c>
      <c r="E79">
        <f>[1]!Repayment[[#This Row],[amount_due]]</f>
        <v>76500</v>
      </c>
      <c r="F79" t="s">
        <v>10</v>
      </c>
      <c r="G79">
        <f>IF(Repayment3[[#This Row],[payment_status]]="Full",0,IF(Repayment3[[#This Row],[payment_status]]="Partial",0.5,1))</f>
        <v>0</v>
      </c>
    </row>
    <row r="80" spans="1:7" x14ac:dyDescent="0.25">
      <c r="A80" t="s">
        <v>165</v>
      </c>
      <c r="B80" t="s">
        <v>166</v>
      </c>
      <c r="C80">
        <v>2</v>
      </c>
      <c r="D80">
        <v>85000</v>
      </c>
      <c r="E80">
        <f>[1]!Repayment[[#This Row],[amount_due]]</f>
        <v>85000</v>
      </c>
      <c r="F80" t="s">
        <v>10</v>
      </c>
      <c r="G80">
        <f>IF(Repayment3[[#This Row],[payment_status]]="Full",0,IF(Repayment3[[#This Row],[payment_status]]="Partial",0.5,1))</f>
        <v>0</v>
      </c>
    </row>
    <row r="81" spans="1:7" x14ac:dyDescent="0.25">
      <c r="A81" t="s">
        <v>167</v>
      </c>
      <c r="B81" t="s">
        <v>168</v>
      </c>
      <c r="C81">
        <v>2</v>
      </c>
      <c r="D81">
        <v>13600</v>
      </c>
      <c r="E81">
        <f>[1]!Repayment[[#This Row],[amount_due]]</f>
        <v>13600</v>
      </c>
      <c r="F81" t="s">
        <v>10</v>
      </c>
      <c r="G81">
        <f>IF(Repayment3[[#This Row],[payment_status]]="Full",0,IF(Repayment3[[#This Row],[payment_status]]="Partial",0.5,1))</f>
        <v>0</v>
      </c>
    </row>
    <row r="82" spans="1:7" x14ac:dyDescent="0.25">
      <c r="A82" t="s">
        <v>169</v>
      </c>
      <c r="B82" t="s">
        <v>170</v>
      </c>
      <c r="C82">
        <v>2</v>
      </c>
      <c r="D82">
        <v>35700</v>
      </c>
      <c r="E82">
        <f>[1]!Repayment[[#This Row],[amount_due]]</f>
        <v>35700</v>
      </c>
      <c r="F82" t="s">
        <v>10</v>
      </c>
      <c r="G82">
        <f>IF(Repayment3[[#This Row],[payment_status]]="Full",0,IF(Repayment3[[#This Row],[payment_status]]="Partial",0.5,1))</f>
        <v>0</v>
      </c>
    </row>
    <row r="83" spans="1:7" x14ac:dyDescent="0.25">
      <c r="A83" t="s">
        <v>171</v>
      </c>
      <c r="B83" t="s">
        <v>172</v>
      </c>
      <c r="C83">
        <v>2</v>
      </c>
      <c r="D83">
        <v>28900</v>
      </c>
      <c r="E83">
        <f>[1]!Repayment[[#This Row],[amount_due]]</f>
        <v>28900</v>
      </c>
      <c r="F83" t="s">
        <v>10</v>
      </c>
      <c r="G83">
        <f>IF(Repayment3[[#This Row],[payment_status]]="Full",0,IF(Repayment3[[#This Row],[payment_status]]="Partial",0.5,1))</f>
        <v>0</v>
      </c>
    </row>
    <row r="84" spans="1:7" x14ac:dyDescent="0.25">
      <c r="A84" t="s">
        <v>173</v>
      </c>
      <c r="B84" t="s">
        <v>174</v>
      </c>
      <c r="C84">
        <v>2</v>
      </c>
      <c r="D84">
        <v>52700</v>
      </c>
      <c r="E84">
        <f>[1]!Repayment[[#This Row],[amount_due]]</f>
        <v>52700</v>
      </c>
      <c r="F84" t="s">
        <v>10</v>
      </c>
      <c r="G84">
        <f>IF(Repayment3[[#This Row],[payment_status]]="Full",0,IF(Repayment3[[#This Row],[payment_status]]="Partial",0.5,1))</f>
        <v>0</v>
      </c>
    </row>
    <row r="85" spans="1:7" x14ac:dyDescent="0.25">
      <c r="A85" t="s">
        <v>175</v>
      </c>
      <c r="B85" t="s">
        <v>176</v>
      </c>
      <c r="C85">
        <v>2</v>
      </c>
      <c r="D85">
        <v>44200</v>
      </c>
      <c r="E85">
        <f>[1]!Repayment[[#This Row],[amount_due]]</f>
        <v>44200</v>
      </c>
      <c r="F85" t="s">
        <v>10</v>
      </c>
      <c r="G85">
        <f>IF(Repayment3[[#This Row],[payment_status]]="Full",0,IF(Repayment3[[#This Row],[payment_status]]="Partial",0.5,1))</f>
        <v>0</v>
      </c>
    </row>
    <row r="86" spans="1:7" x14ac:dyDescent="0.25">
      <c r="A86" t="s">
        <v>177</v>
      </c>
      <c r="B86" t="s">
        <v>178</v>
      </c>
      <c r="C86">
        <v>2</v>
      </c>
      <c r="D86">
        <v>20400</v>
      </c>
      <c r="E86">
        <f>[1]!Repayment[[#This Row],[amount_due]]</f>
        <v>20400</v>
      </c>
      <c r="F86" t="s">
        <v>10</v>
      </c>
      <c r="G86">
        <f>IF(Repayment3[[#This Row],[payment_status]]="Full",0,IF(Repayment3[[#This Row],[payment_status]]="Partial",0.5,1))</f>
        <v>0</v>
      </c>
    </row>
    <row r="87" spans="1:7" x14ac:dyDescent="0.25">
      <c r="A87" t="s">
        <v>179</v>
      </c>
      <c r="B87" t="s">
        <v>180</v>
      </c>
      <c r="C87">
        <v>2</v>
      </c>
      <c r="D87">
        <v>17000</v>
      </c>
      <c r="E87">
        <f>[1]!Repayment[[#This Row],[amount_due]]</f>
        <v>17000</v>
      </c>
      <c r="F87" t="s">
        <v>10</v>
      </c>
      <c r="G87">
        <f>IF(Repayment3[[#This Row],[payment_status]]="Full",0,IF(Repayment3[[#This Row],[payment_status]]="Partial",0.5,1))</f>
        <v>0</v>
      </c>
    </row>
    <row r="88" spans="1:7" x14ac:dyDescent="0.25">
      <c r="A88" t="s">
        <v>181</v>
      </c>
      <c r="B88" t="s">
        <v>182</v>
      </c>
      <c r="C88">
        <v>2</v>
      </c>
      <c r="D88">
        <v>8500</v>
      </c>
      <c r="E88">
        <f>[1]!Repayment[[#This Row],[amount_due]]</f>
        <v>8500</v>
      </c>
      <c r="F88" t="s">
        <v>10</v>
      </c>
      <c r="G88">
        <f>IF(Repayment3[[#This Row],[payment_status]]="Full",0,IF(Repayment3[[#This Row],[payment_status]]="Partial",0.5,1))</f>
        <v>0</v>
      </c>
    </row>
    <row r="89" spans="1:7" x14ac:dyDescent="0.25">
      <c r="A89" t="s">
        <v>183</v>
      </c>
      <c r="B89" t="s">
        <v>184</v>
      </c>
      <c r="C89">
        <v>2</v>
      </c>
      <c r="D89">
        <v>57800</v>
      </c>
      <c r="E89">
        <f>[1]!Repayment[[#This Row],[amount_due]]</f>
        <v>57800</v>
      </c>
      <c r="F89" t="s">
        <v>10</v>
      </c>
      <c r="G89">
        <f>IF(Repayment3[[#This Row],[payment_status]]="Full",0,IF(Repayment3[[#This Row],[payment_status]]="Partial",0.5,1))</f>
        <v>0</v>
      </c>
    </row>
    <row r="90" spans="1:7" x14ac:dyDescent="0.25">
      <c r="A90" t="s">
        <v>185</v>
      </c>
      <c r="B90" t="s">
        <v>186</v>
      </c>
      <c r="C90">
        <v>2</v>
      </c>
      <c r="D90">
        <v>79900</v>
      </c>
      <c r="E90">
        <f>[1]!Repayment[[#This Row],[amount_due]]</f>
        <v>79900</v>
      </c>
      <c r="F90" t="s">
        <v>10</v>
      </c>
      <c r="G90">
        <f>IF(Repayment3[[#This Row],[payment_status]]="Full",0,IF(Repayment3[[#This Row],[payment_status]]="Partial",0.5,1))</f>
        <v>0</v>
      </c>
    </row>
    <row r="91" spans="1:7" x14ac:dyDescent="0.25">
      <c r="A91" t="s">
        <v>187</v>
      </c>
      <c r="B91" t="s">
        <v>188</v>
      </c>
      <c r="C91">
        <v>2</v>
      </c>
      <c r="D91">
        <v>47600</v>
      </c>
      <c r="E91">
        <f>[1]!Repayment[[#This Row],[amount_due]]</f>
        <v>47600</v>
      </c>
      <c r="F91" t="s">
        <v>10</v>
      </c>
      <c r="G91">
        <f>IF(Repayment3[[#This Row],[payment_status]]="Full",0,IF(Repayment3[[#This Row],[payment_status]]="Partial",0.5,1))</f>
        <v>0</v>
      </c>
    </row>
    <row r="92" spans="1:7" x14ac:dyDescent="0.25">
      <c r="A92" t="s">
        <v>189</v>
      </c>
      <c r="B92" t="s">
        <v>190</v>
      </c>
      <c r="C92">
        <v>2</v>
      </c>
      <c r="D92">
        <v>18700</v>
      </c>
      <c r="E92">
        <f>[1]!Repayment[[#This Row],[amount_due]]</f>
        <v>18700</v>
      </c>
      <c r="F92" t="s">
        <v>10</v>
      </c>
      <c r="G92">
        <f>IF(Repayment3[[#This Row],[payment_status]]="Full",0,IF(Repayment3[[#This Row],[payment_status]]="Partial",0.5,1))</f>
        <v>0</v>
      </c>
    </row>
    <row r="93" spans="1:7" x14ac:dyDescent="0.25">
      <c r="A93" t="s">
        <v>191</v>
      </c>
      <c r="B93" t="s">
        <v>192</v>
      </c>
      <c r="C93">
        <v>2</v>
      </c>
      <c r="D93">
        <v>11900</v>
      </c>
      <c r="E93">
        <f>[1]!Repayment[[#This Row],[amount_due]]</f>
        <v>11900</v>
      </c>
      <c r="F93" t="s">
        <v>10</v>
      </c>
      <c r="G93">
        <f>IF(Repayment3[[#This Row],[payment_status]]="Full",0,IF(Repayment3[[#This Row],[payment_status]]="Partial",0.5,1))</f>
        <v>0</v>
      </c>
    </row>
    <row r="94" spans="1:7" x14ac:dyDescent="0.25">
      <c r="A94" t="s">
        <v>193</v>
      </c>
      <c r="B94" t="s">
        <v>194</v>
      </c>
      <c r="C94">
        <v>2</v>
      </c>
      <c r="D94">
        <v>11900</v>
      </c>
      <c r="E94">
        <f>[1]!Repayment[[#This Row],[amount_due]]</f>
        <v>11900</v>
      </c>
      <c r="F94" t="s">
        <v>10</v>
      </c>
      <c r="G94">
        <f>IF(Repayment3[[#This Row],[payment_status]]="Full",0,IF(Repayment3[[#This Row],[payment_status]]="Partial",0.5,1))</f>
        <v>0</v>
      </c>
    </row>
    <row r="95" spans="1:7" x14ac:dyDescent="0.25">
      <c r="A95" t="s">
        <v>195</v>
      </c>
      <c r="B95" t="s">
        <v>196</v>
      </c>
      <c r="C95">
        <v>2</v>
      </c>
      <c r="D95">
        <v>11900</v>
      </c>
      <c r="E95">
        <f>[1]!Repayment[[#This Row],[amount_due]]</f>
        <v>11900</v>
      </c>
      <c r="F95" t="s">
        <v>10</v>
      </c>
      <c r="G95">
        <f>IF(Repayment3[[#This Row],[payment_status]]="Full",0,IF(Repayment3[[#This Row],[payment_status]]="Partial",0.5,1))</f>
        <v>0</v>
      </c>
    </row>
    <row r="96" spans="1:7" x14ac:dyDescent="0.25">
      <c r="A96" t="s">
        <v>197</v>
      </c>
      <c r="B96" t="s">
        <v>198</v>
      </c>
      <c r="C96">
        <v>2</v>
      </c>
      <c r="D96">
        <v>11900</v>
      </c>
      <c r="E96">
        <f>[1]!Repayment[[#This Row],[amount_due]]</f>
        <v>11900</v>
      </c>
      <c r="F96" t="s">
        <v>10</v>
      </c>
      <c r="G96">
        <f>IF(Repayment3[[#This Row],[payment_status]]="Full",0,IF(Repayment3[[#This Row],[payment_status]]="Partial",0.5,1))</f>
        <v>0</v>
      </c>
    </row>
    <row r="97" spans="1:7" x14ac:dyDescent="0.25">
      <c r="A97" t="s">
        <v>199</v>
      </c>
      <c r="B97" t="s">
        <v>200</v>
      </c>
      <c r="C97">
        <v>2</v>
      </c>
      <c r="D97">
        <v>11900</v>
      </c>
      <c r="E97">
        <f>[1]!Repayment[[#This Row],[amount_due]]</f>
        <v>11900</v>
      </c>
      <c r="F97" t="s">
        <v>10</v>
      </c>
      <c r="G97">
        <f>IF(Repayment3[[#This Row],[payment_status]]="Full",0,IF(Repayment3[[#This Row],[payment_status]]="Partial",0.5,1))</f>
        <v>0</v>
      </c>
    </row>
    <row r="98" spans="1:7" x14ac:dyDescent="0.25">
      <c r="A98" t="s">
        <v>201</v>
      </c>
      <c r="B98" t="s">
        <v>202</v>
      </c>
      <c r="C98">
        <v>2</v>
      </c>
      <c r="D98">
        <v>54400</v>
      </c>
      <c r="E98">
        <f>[1]!Repayment[[#This Row],[amount_due]]</f>
        <v>54400</v>
      </c>
      <c r="F98" t="s">
        <v>10</v>
      </c>
      <c r="G98">
        <f>IF(Repayment3[[#This Row],[payment_status]]="Full",0,IF(Repayment3[[#This Row],[payment_status]]="Partial",0.5,1))</f>
        <v>0</v>
      </c>
    </row>
    <row r="99" spans="1:7" x14ac:dyDescent="0.25">
      <c r="A99" t="s">
        <v>203</v>
      </c>
      <c r="B99" t="s">
        <v>204</v>
      </c>
      <c r="C99">
        <v>2</v>
      </c>
      <c r="D99">
        <v>28900</v>
      </c>
      <c r="E99">
        <f>[1]!Repayment[[#This Row],[amount_due]]</f>
        <v>28900</v>
      </c>
      <c r="F99" t="s">
        <v>10</v>
      </c>
      <c r="G99">
        <f>IF(Repayment3[[#This Row],[payment_status]]="Full",0,IF(Repayment3[[#This Row],[payment_status]]="Partial",0.5,1))</f>
        <v>0</v>
      </c>
    </row>
    <row r="100" spans="1:7" x14ac:dyDescent="0.25">
      <c r="A100" t="s">
        <v>205</v>
      </c>
      <c r="B100" t="s">
        <v>206</v>
      </c>
      <c r="C100">
        <v>2</v>
      </c>
      <c r="D100">
        <v>23800</v>
      </c>
      <c r="E100">
        <f>[1]!Repayment[[#This Row],[amount_due]]</f>
        <v>23800</v>
      </c>
      <c r="F100" t="s">
        <v>10</v>
      </c>
      <c r="G100">
        <f>IF(Repayment3[[#This Row],[payment_status]]="Full",0,IF(Repayment3[[#This Row],[payment_status]]="Partial",0.5,1))</f>
        <v>0</v>
      </c>
    </row>
    <row r="101" spans="1:7" x14ac:dyDescent="0.25">
      <c r="A101" t="s">
        <v>207</v>
      </c>
      <c r="B101" t="s">
        <v>208</v>
      </c>
      <c r="C101">
        <v>2</v>
      </c>
      <c r="D101">
        <v>13600</v>
      </c>
      <c r="E101">
        <f>[1]!Repayment[[#This Row],[amount_due]]</f>
        <v>13600</v>
      </c>
      <c r="F101" t="s">
        <v>10</v>
      </c>
      <c r="G101">
        <f>IF(Repayment3[[#This Row],[payment_status]]="Full",0,IF(Repayment3[[#This Row],[payment_status]]="Partial",0.5,1))</f>
        <v>0</v>
      </c>
    </row>
    <row r="102" spans="1:7" x14ac:dyDescent="0.25">
      <c r="A102" t="s">
        <v>209</v>
      </c>
      <c r="B102" t="s">
        <v>210</v>
      </c>
      <c r="C102">
        <v>2</v>
      </c>
      <c r="D102">
        <v>18700</v>
      </c>
      <c r="E102">
        <f>[1]!Repayment[[#This Row],[amount_due]]</f>
        <v>18700</v>
      </c>
      <c r="F102" t="s">
        <v>10</v>
      </c>
      <c r="G102">
        <f>IF(Repayment3[[#This Row],[payment_status]]="Full",0,IF(Repayment3[[#This Row],[payment_status]]="Partial",0.5,1))</f>
        <v>0</v>
      </c>
    </row>
    <row r="103" spans="1:7" x14ac:dyDescent="0.25">
      <c r="A103" t="s">
        <v>211</v>
      </c>
      <c r="B103" t="s">
        <v>212</v>
      </c>
      <c r="C103">
        <v>2</v>
      </c>
      <c r="D103">
        <v>23800</v>
      </c>
      <c r="E103">
        <f>[1]!Repayment[[#This Row],[amount_due]]</f>
        <v>23800</v>
      </c>
      <c r="F103" t="s">
        <v>10</v>
      </c>
      <c r="G103">
        <f>IF(Repayment3[[#This Row],[payment_status]]="Full",0,IF(Repayment3[[#This Row],[payment_status]]="Partial",0.5,1))</f>
        <v>0</v>
      </c>
    </row>
    <row r="104" spans="1:7" x14ac:dyDescent="0.25">
      <c r="A104" t="s">
        <v>213</v>
      </c>
      <c r="B104" t="s">
        <v>214</v>
      </c>
      <c r="C104">
        <v>2</v>
      </c>
      <c r="D104">
        <v>15300</v>
      </c>
      <c r="E104">
        <f>[1]!Repayment[[#This Row],[amount_due]]</f>
        <v>15300</v>
      </c>
      <c r="F104" t="s">
        <v>10</v>
      </c>
      <c r="G104">
        <f>IF(Repayment3[[#This Row],[payment_status]]="Full",0,IF(Repayment3[[#This Row],[payment_status]]="Partial",0.5,1))</f>
        <v>0</v>
      </c>
    </row>
    <row r="105" spans="1:7" x14ac:dyDescent="0.25">
      <c r="A105" t="s">
        <v>215</v>
      </c>
      <c r="B105" t="s">
        <v>216</v>
      </c>
      <c r="C105">
        <v>2</v>
      </c>
      <c r="D105">
        <v>35700</v>
      </c>
      <c r="E105">
        <f>[1]!Repayment[[#This Row],[amount_due]]</f>
        <v>35700</v>
      </c>
      <c r="F105" t="s">
        <v>10</v>
      </c>
      <c r="G105">
        <f>IF(Repayment3[[#This Row],[payment_status]]="Full",0,IF(Repayment3[[#This Row],[payment_status]]="Partial",0.5,1))</f>
        <v>0</v>
      </c>
    </row>
    <row r="106" spans="1:7" x14ac:dyDescent="0.25">
      <c r="A106" t="s">
        <v>217</v>
      </c>
      <c r="B106" t="s">
        <v>218</v>
      </c>
      <c r="C106">
        <v>2</v>
      </c>
      <c r="D106">
        <v>64600</v>
      </c>
      <c r="E106">
        <f>[1]!Repayment[[#This Row],[amount_due]]</f>
        <v>64600</v>
      </c>
      <c r="F106" t="s">
        <v>219</v>
      </c>
      <c r="G106">
        <f>IF(Repayment3[[#This Row],[payment_status]]="Full",0,IF(Repayment3[[#This Row],[payment_status]]="Partial",0.5,1))</f>
        <v>0.5</v>
      </c>
    </row>
    <row r="107" spans="1:7" x14ac:dyDescent="0.25">
      <c r="A107" t="s">
        <v>220</v>
      </c>
      <c r="B107" t="s">
        <v>221</v>
      </c>
      <c r="C107">
        <v>2</v>
      </c>
      <c r="D107">
        <v>54400</v>
      </c>
      <c r="E107">
        <f>[1]!Repayment[[#This Row],[amount_due]]</f>
        <v>54400</v>
      </c>
      <c r="F107" t="s">
        <v>219</v>
      </c>
      <c r="G107">
        <f>IF(Repayment3[[#This Row],[payment_status]]="Full",0,IF(Repayment3[[#This Row],[payment_status]]="Partial",0.5,1))</f>
        <v>0.5</v>
      </c>
    </row>
    <row r="108" spans="1:7" x14ac:dyDescent="0.25">
      <c r="A108" t="s">
        <v>222</v>
      </c>
      <c r="B108" t="s">
        <v>223</v>
      </c>
      <c r="C108">
        <v>2</v>
      </c>
      <c r="D108">
        <v>57800</v>
      </c>
      <c r="E108">
        <f>[1]!Repayment[[#This Row],[amount_due]]</f>
        <v>57800</v>
      </c>
      <c r="F108" t="s">
        <v>219</v>
      </c>
      <c r="G108">
        <f>IF(Repayment3[[#This Row],[payment_status]]="Full",0,IF(Repayment3[[#This Row],[payment_status]]="Partial",0.5,1))</f>
        <v>0.5</v>
      </c>
    </row>
    <row r="109" spans="1:7" x14ac:dyDescent="0.25">
      <c r="A109" t="s">
        <v>224</v>
      </c>
      <c r="B109" t="s">
        <v>225</v>
      </c>
      <c r="C109">
        <v>2</v>
      </c>
      <c r="D109">
        <v>22100</v>
      </c>
      <c r="E109">
        <f>[1]!Repayment[[#This Row],[amount_due]]</f>
        <v>22100</v>
      </c>
      <c r="F109" t="s">
        <v>219</v>
      </c>
      <c r="G109">
        <f>IF(Repayment3[[#This Row],[payment_status]]="Full",0,IF(Repayment3[[#This Row],[payment_status]]="Partial",0.5,1))</f>
        <v>0.5</v>
      </c>
    </row>
    <row r="110" spans="1:7" x14ac:dyDescent="0.25">
      <c r="A110" t="s">
        <v>226</v>
      </c>
      <c r="B110" t="s">
        <v>227</v>
      </c>
      <c r="C110">
        <v>2</v>
      </c>
      <c r="D110">
        <v>28900</v>
      </c>
      <c r="E110">
        <f>[1]!Repayment[[#This Row],[amount_due]]</f>
        <v>28900</v>
      </c>
      <c r="F110" t="s">
        <v>219</v>
      </c>
      <c r="G110">
        <f>IF(Repayment3[[#This Row],[payment_status]]="Full",0,IF(Repayment3[[#This Row],[payment_status]]="Partial",0.5,1))</f>
        <v>0.5</v>
      </c>
    </row>
    <row r="111" spans="1:7" x14ac:dyDescent="0.25">
      <c r="A111" t="s">
        <v>228</v>
      </c>
      <c r="B111" t="s">
        <v>229</v>
      </c>
      <c r="C111">
        <v>2</v>
      </c>
      <c r="D111">
        <v>13600</v>
      </c>
      <c r="E111">
        <f>[1]!Repayment[[#This Row],[amount_due]]</f>
        <v>13600</v>
      </c>
      <c r="F111" t="s">
        <v>219</v>
      </c>
      <c r="G111">
        <f>IF(Repayment3[[#This Row],[payment_status]]="Full",0,IF(Repayment3[[#This Row],[payment_status]]="Partial",0.5,1))</f>
        <v>0.5</v>
      </c>
    </row>
    <row r="112" spans="1:7" x14ac:dyDescent="0.25">
      <c r="A112" t="s">
        <v>230</v>
      </c>
      <c r="B112" t="s">
        <v>231</v>
      </c>
      <c r="C112">
        <v>2</v>
      </c>
      <c r="D112">
        <v>18700</v>
      </c>
      <c r="E112">
        <f>[1]!Repayment[[#This Row],[amount_due]]</f>
        <v>18700</v>
      </c>
      <c r="F112" t="s">
        <v>219</v>
      </c>
      <c r="G112">
        <f>IF(Repayment3[[#This Row],[payment_status]]="Full",0,IF(Repayment3[[#This Row],[payment_status]]="Partial",0.5,1))</f>
        <v>0.5</v>
      </c>
    </row>
    <row r="113" spans="1:7" x14ac:dyDescent="0.25">
      <c r="A113" t="s">
        <v>232</v>
      </c>
      <c r="B113" t="s">
        <v>233</v>
      </c>
      <c r="C113">
        <v>2</v>
      </c>
      <c r="D113">
        <v>13600</v>
      </c>
      <c r="E113">
        <f>[1]!Repayment[[#This Row],[amount_due]]</f>
        <v>13600</v>
      </c>
      <c r="F113" t="s">
        <v>219</v>
      </c>
      <c r="G113">
        <f>IF(Repayment3[[#This Row],[payment_status]]="Full",0,IF(Repayment3[[#This Row],[payment_status]]="Partial",0.5,1))</f>
        <v>0.5</v>
      </c>
    </row>
    <row r="114" spans="1:7" x14ac:dyDescent="0.25">
      <c r="A114" t="s">
        <v>234</v>
      </c>
      <c r="B114" t="s">
        <v>235</v>
      </c>
      <c r="C114">
        <v>2</v>
      </c>
      <c r="D114">
        <v>44200</v>
      </c>
      <c r="E114">
        <f>[1]!Repayment[[#This Row],[amount_due]]</f>
        <v>44200</v>
      </c>
      <c r="F114" t="s">
        <v>219</v>
      </c>
      <c r="G114">
        <f>IF(Repayment3[[#This Row],[payment_status]]="Full",0,IF(Repayment3[[#This Row],[payment_status]]="Partial",0.5,1))</f>
        <v>0.5</v>
      </c>
    </row>
    <row r="115" spans="1:7" x14ac:dyDescent="0.25">
      <c r="A115" t="s">
        <v>236</v>
      </c>
      <c r="B115" t="s">
        <v>237</v>
      </c>
      <c r="C115">
        <v>2</v>
      </c>
      <c r="D115">
        <v>28900</v>
      </c>
      <c r="E115">
        <f>[1]!Repayment[[#This Row],[amount_due]]</f>
        <v>28900</v>
      </c>
      <c r="F115" t="s">
        <v>219</v>
      </c>
      <c r="G115">
        <f>IF(Repayment3[[#This Row],[payment_status]]="Full",0,IF(Repayment3[[#This Row],[payment_status]]="Partial",0.5,1))</f>
        <v>0.5</v>
      </c>
    </row>
    <row r="116" spans="1:7" x14ac:dyDescent="0.25">
      <c r="A116" t="s">
        <v>238</v>
      </c>
      <c r="B116" t="s">
        <v>239</v>
      </c>
      <c r="C116">
        <v>2</v>
      </c>
      <c r="D116">
        <v>54400</v>
      </c>
      <c r="E116">
        <f>[1]!Repayment[[#This Row],[amount_due]]</f>
        <v>54400</v>
      </c>
      <c r="F116" t="s">
        <v>219</v>
      </c>
      <c r="G116">
        <f>IF(Repayment3[[#This Row],[payment_status]]="Full",0,IF(Repayment3[[#This Row],[payment_status]]="Partial",0.5,1))</f>
        <v>0.5</v>
      </c>
    </row>
    <row r="117" spans="1:7" x14ac:dyDescent="0.25">
      <c r="A117" t="s">
        <v>240</v>
      </c>
      <c r="B117" t="s">
        <v>241</v>
      </c>
      <c r="C117">
        <v>2</v>
      </c>
      <c r="D117">
        <v>83300</v>
      </c>
      <c r="E117">
        <f>[1]!Repayment[[#This Row],[amount_due]]</f>
        <v>83300</v>
      </c>
      <c r="F117" t="s">
        <v>219</v>
      </c>
      <c r="G117">
        <f>IF(Repayment3[[#This Row],[payment_status]]="Full",0,IF(Repayment3[[#This Row],[payment_status]]="Partial",0.5,1))</f>
        <v>0.5</v>
      </c>
    </row>
    <row r="118" spans="1:7" x14ac:dyDescent="0.25">
      <c r="A118" t="s">
        <v>242</v>
      </c>
      <c r="B118" t="s">
        <v>243</v>
      </c>
      <c r="C118">
        <v>2</v>
      </c>
      <c r="D118">
        <v>8500</v>
      </c>
      <c r="E118">
        <f>[1]!Repayment[[#This Row],[amount_due]]</f>
        <v>8500</v>
      </c>
      <c r="F118" t="s">
        <v>219</v>
      </c>
      <c r="G118">
        <f>IF(Repayment3[[#This Row],[payment_status]]="Full",0,IF(Repayment3[[#This Row],[payment_status]]="Partial",0.5,1))</f>
        <v>0.5</v>
      </c>
    </row>
    <row r="119" spans="1:7" x14ac:dyDescent="0.25">
      <c r="A119" t="s">
        <v>244</v>
      </c>
      <c r="B119" t="s">
        <v>245</v>
      </c>
      <c r="C119">
        <v>2</v>
      </c>
      <c r="D119">
        <v>30600</v>
      </c>
      <c r="E119">
        <f>[1]!Repayment[[#This Row],[amount_due]]</f>
        <v>30600</v>
      </c>
      <c r="F119" t="s">
        <v>219</v>
      </c>
      <c r="G119">
        <f>IF(Repayment3[[#This Row],[payment_status]]="Full",0,IF(Repayment3[[#This Row],[payment_status]]="Partial",0.5,1))</f>
        <v>0.5</v>
      </c>
    </row>
    <row r="120" spans="1:7" x14ac:dyDescent="0.25">
      <c r="A120" t="s">
        <v>246</v>
      </c>
      <c r="B120" t="s">
        <v>247</v>
      </c>
      <c r="C120">
        <v>2</v>
      </c>
      <c r="D120">
        <v>54400</v>
      </c>
      <c r="E120">
        <f>[1]!Repayment[[#This Row],[amount_due]]</f>
        <v>54400</v>
      </c>
      <c r="F120" t="s">
        <v>219</v>
      </c>
      <c r="G120">
        <f>IF(Repayment3[[#This Row],[payment_status]]="Full",0,IF(Repayment3[[#This Row],[payment_status]]="Partial",0.5,1))</f>
        <v>0.5</v>
      </c>
    </row>
    <row r="121" spans="1:7" x14ac:dyDescent="0.25">
      <c r="A121" t="s">
        <v>248</v>
      </c>
      <c r="B121" t="s">
        <v>249</v>
      </c>
      <c r="C121">
        <v>2</v>
      </c>
      <c r="D121">
        <v>47600</v>
      </c>
      <c r="E121">
        <f>[1]!Repayment[[#This Row],[amount_due]]</f>
        <v>47600</v>
      </c>
      <c r="F121" t="s">
        <v>219</v>
      </c>
      <c r="G121">
        <f>IF(Repayment3[[#This Row],[payment_status]]="Full",0,IF(Repayment3[[#This Row],[payment_status]]="Partial",0.5,1))</f>
        <v>0.5</v>
      </c>
    </row>
    <row r="122" spans="1:7" x14ac:dyDescent="0.25">
      <c r="A122" t="s">
        <v>250</v>
      </c>
      <c r="B122" t="s">
        <v>251</v>
      </c>
      <c r="C122">
        <v>2</v>
      </c>
      <c r="D122">
        <v>66300</v>
      </c>
      <c r="E122">
        <f>[1]!Repayment[[#This Row],[amount_due]]</f>
        <v>66300</v>
      </c>
      <c r="F122" t="s">
        <v>219</v>
      </c>
      <c r="G122">
        <f>IF(Repayment3[[#This Row],[payment_status]]="Full",0,IF(Repayment3[[#This Row],[payment_status]]="Partial",0.5,1))</f>
        <v>0.5</v>
      </c>
    </row>
    <row r="123" spans="1:7" x14ac:dyDescent="0.25">
      <c r="A123" t="s">
        <v>252</v>
      </c>
      <c r="B123" t="s">
        <v>253</v>
      </c>
      <c r="C123">
        <v>2</v>
      </c>
      <c r="D123">
        <v>10200</v>
      </c>
      <c r="E123">
        <f>[1]!Repayment[[#This Row],[amount_due]]</f>
        <v>10200</v>
      </c>
      <c r="F123" t="s">
        <v>219</v>
      </c>
      <c r="G123">
        <f>IF(Repayment3[[#This Row],[payment_status]]="Full",0,IF(Repayment3[[#This Row],[payment_status]]="Partial",0.5,1))</f>
        <v>0.5</v>
      </c>
    </row>
    <row r="124" spans="1:7" x14ac:dyDescent="0.25">
      <c r="A124" t="s">
        <v>254</v>
      </c>
      <c r="B124" t="s">
        <v>255</v>
      </c>
      <c r="C124">
        <v>2</v>
      </c>
      <c r="D124">
        <v>10200</v>
      </c>
      <c r="E124">
        <f>[1]!Repayment[[#This Row],[amount_due]]</f>
        <v>10200</v>
      </c>
      <c r="F124" t="s">
        <v>219</v>
      </c>
      <c r="G124">
        <f>IF(Repayment3[[#This Row],[payment_status]]="Full",0,IF(Repayment3[[#This Row],[payment_status]]="Partial",0.5,1))</f>
        <v>0.5</v>
      </c>
    </row>
    <row r="125" spans="1:7" x14ac:dyDescent="0.25">
      <c r="A125" t="s">
        <v>256</v>
      </c>
      <c r="B125" t="s">
        <v>257</v>
      </c>
      <c r="C125">
        <v>2</v>
      </c>
      <c r="D125">
        <v>10200</v>
      </c>
      <c r="E125">
        <f>[1]!Repayment[[#This Row],[amount_due]]</f>
        <v>10200</v>
      </c>
      <c r="F125" t="s">
        <v>219</v>
      </c>
      <c r="G125">
        <f>IF(Repayment3[[#This Row],[payment_status]]="Full",0,IF(Repayment3[[#This Row],[payment_status]]="Partial",0.5,1))</f>
        <v>0.5</v>
      </c>
    </row>
    <row r="126" spans="1:7" x14ac:dyDescent="0.25">
      <c r="A126" t="s">
        <v>258</v>
      </c>
      <c r="B126" t="s">
        <v>259</v>
      </c>
      <c r="C126">
        <v>2</v>
      </c>
      <c r="D126">
        <v>18700</v>
      </c>
      <c r="E126">
        <f>[1]!Repayment[[#This Row],[amount_due]]</f>
        <v>18700</v>
      </c>
      <c r="F126" t="s">
        <v>219</v>
      </c>
      <c r="G126">
        <f>IF(Repayment3[[#This Row],[payment_status]]="Full",0,IF(Repayment3[[#This Row],[payment_status]]="Partial",0.5,1))</f>
        <v>0.5</v>
      </c>
    </row>
    <row r="127" spans="1:7" x14ac:dyDescent="0.25">
      <c r="A127" t="s">
        <v>260</v>
      </c>
      <c r="B127" t="s">
        <v>261</v>
      </c>
      <c r="C127">
        <v>2</v>
      </c>
      <c r="D127">
        <v>74800</v>
      </c>
      <c r="E127">
        <f>[1]!Repayment[[#This Row],[amount_due]]</f>
        <v>74800</v>
      </c>
      <c r="F127" t="s">
        <v>219</v>
      </c>
      <c r="G127">
        <f>IF(Repayment3[[#This Row],[payment_status]]="Full",0,IF(Repayment3[[#This Row],[payment_status]]="Partial",0.5,1))</f>
        <v>0.5</v>
      </c>
    </row>
    <row r="128" spans="1:7" x14ac:dyDescent="0.25">
      <c r="A128" t="s">
        <v>262</v>
      </c>
      <c r="B128" t="s">
        <v>263</v>
      </c>
      <c r="C128">
        <v>2</v>
      </c>
      <c r="D128">
        <v>45900</v>
      </c>
      <c r="E128">
        <f>[1]!Repayment[[#This Row],[amount_due]]</f>
        <v>45900</v>
      </c>
      <c r="F128" t="s">
        <v>219</v>
      </c>
      <c r="G128">
        <f>IF(Repayment3[[#This Row],[payment_status]]="Full",0,IF(Repayment3[[#This Row],[payment_status]]="Partial",0.5,1))</f>
        <v>0.5</v>
      </c>
    </row>
    <row r="129" spans="1:7" x14ac:dyDescent="0.25">
      <c r="A129" t="s">
        <v>264</v>
      </c>
      <c r="B129" t="s">
        <v>265</v>
      </c>
      <c r="C129">
        <v>2</v>
      </c>
      <c r="D129">
        <v>20400</v>
      </c>
      <c r="E129">
        <f>[1]!Repayment[[#This Row],[amount_due]]</f>
        <v>20400</v>
      </c>
      <c r="F129" t="s">
        <v>219</v>
      </c>
      <c r="G129">
        <f>IF(Repayment3[[#This Row],[payment_status]]="Full",0,IF(Repayment3[[#This Row],[payment_status]]="Partial",0.5,1))</f>
        <v>0.5</v>
      </c>
    </row>
    <row r="130" spans="1:7" x14ac:dyDescent="0.25">
      <c r="A130" t="s">
        <v>266</v>
      </c>
      <c r="B130" t="s">
        <v>267</v>
      </c>
      <c r="C130">
        <v>2</v>
      </c>
      <c r="D130">
        <v>13600</v>
      </c>
      <c r="E130">
        <f>[1]!Repayment[[#This Row],[amount_due]]</f>
        <v>13600</v>
      </c>
      <c r="F130" t="s">
        <v>219</v>
      </c>
      <c r="G130">
        <f>IF(Repayment3[[#This Row],[payment_status]]="Full",0,IF(Repayment3[[#This Row],[payment_status]]="Partial",0.5,1))</f>
        <v>0.5</v>
      </c>
    </row>
    <row r="131" spans="1:7" x14ac:dyDescent="0.25">
      <c r="A131" t="s">
        <v>268</v>
      </c>
      <c r="B131" t="s">
        <v>269</v>
      </c>
      <c r="C131">
        <v>2</v>
      </c>
      <c r="D131">
        <v>17000</v>
      </c>
      <c r="E131">
        <f>[1]!Repayment[[#This Row],[amount_due]]</f>
        <v>17000</v>
      </c>
      <c r="F131" t="s">
        <v>219</v>
      </c>
      <c r="G131">
        <f>IF(Repayment3[[#This Row],[payment_status]]="Full",0,IF(Repayment3[[#This Row],[payment_status]]="Partial",0.5,1))</f>
        <v>0.5</v>
      </c>
    </row>
    <row r="132" spans="1:7" x14ac:dyDescent="0.25">
      <c r="A132" t="s">
        <v>270</v>
      </c>
      <c r="B132" t="s">
        <v>271</v>
      </c>
      <c r="C132">
        <v>2</v>
      </c>
      <c r="D132">
        <v>17000</v>
      </c>
      <c r="E132">
        <f>[1]!Repayment[[#This Row],[amount_due]]</f>
        <v>17000</v>
      </c>
      <c r="F132" t="s">
        <v>219</v>
      </c>
      <c r="G132">
        <f>IF(Repayment3[[#This Row],[payment_status]]="Full",0,IF(Repayment3[[#This Row],[payment_status]]="Partial",0.5,1))</f>
        <v>0.5</v>
      </c>
    </row>
    <row r="133" spans="1:7" x14ac:dyDescent="0.25">
      <c r="A133" t="s">
        <v>272</v>
      </c>
      <c r="B133" t="s">
        <v>273</v>
      </c>
      <c r="C133">
        <v>2</v>
      </c>
      <c r="D133">
        <v>39100</v>
      </c>
      <c r="E133">
        <f>[1]!Repayment[[#This Row],[amount_due]]</f>
        <v>39100</v>
      </c>
      <c r="F133" t="s">
        <v>219</v>
      </c>
      <c r="G133">
        <f>IF(Repayment3[[#This Row],[payment_status]]="Full",0,IF(Repayment3[[#This Row],[payment_status]]="Partial",0.5,1))</f>
        <v>0.5</v>
      </c>
    </row>
    <row r="134" spans="1:7" x14ac:dyDescent="0.25">
      <c r="A134" t="s">
        <v>274</v>
      </c>
      <c r="B134" t="s">
        <v>275</v>
      </c>
      <c r="C134">
        <v>2</v>
      </c>
      <c r="D134">
        <v>57800</v>
      </c>
      <c r="E134">
        <f>[1]!Repayment[[#This Row],[amount_due]]</f>
        <v>57800</v>
      </c>
      <c r="F134" t="s">
        <v>219</v>
      </c>
      <c r="G134">
        <f>IF(Repayment3[[#This Row],[payment_status]]="Full",0,IF(Repayment3[[#This Row],[payment_status]]="Partial",0.5,1))</f>
        <v>0.5</v>
      </c>
    </row>
    <row r="135" spans="1:7" x14ac:dyDescent="0.25">
      <c r="A135" t="s">
        <v>276</v>
      </c>
      <c r="B135" t="s">
        <v>277</v>
      </c>
      <c r="C135">
        <v>2</v>
      </c>
      <c r="D135">
        <v>27200</v>
      </c>
      <c r="E135">
        <f>[1]!Repayment[[#This Row],[amount_due]]</f>
        <v>27200</v>
      </c>
      <c r="F135" t="s">
        <v>219</v>
      </c>
      <c r="G135">
        <f>IF(Repayment3[[#This Row],[payment_status]]="Full",0,IF(Repayment3[[#This Row],[payment_status]]="Partial",0.5,1))</f>
        <v>0.5</v>
      </c>
    </row>
    <row r="136" spans="1:7" x14ac:dyDescent="0.25">
      <c r="A136" t="s">
        <v>278</v>
      </c>
      <c r="B136" t="s">
        <v>279</v>
      </c>
      <c r="C136">
        <v>2</v>
      </c>
      <c r="D136">
        <v>56100</v>
      </c>
      <c r="E136">
        <f>[1]!Repayment[[#This Row],[amount_due]]</f>
        <v>56100</v>
      </c>
      <c r="F136" t="s">
        <v>219</v>
      </c>
      <c r="G136">
        <f>IF(Repayment3[[#This Row],[payment_status]]="Full",0,IF(Repayment3[[#This Row],[payment_status]]="Partial",0.5,1))</f>
        <v>0.5</v>
      </c>
    </row>
    <row r="137" spans="1:7" x14ac:dyDescent="0.25">
      <c r="A137" t="s">
        <v>280</v>
      </c>
      <c r="B137" t="s">
        <v>281</v>
      </c>
      <c r="C137">
        <v>2</v>
      </c>
      <c r="D137">
        <v>74800</v>
      </c>
      <c r="E137">
        <f>[1]!Repayment[[#This Row],[amount_due]]</f>
        <v>74800</v>
      </c>
      <c r="F137" t="s">
        <v>219</v>
      </c>
      <c r="G137">
        <f>IF(Repayment3[[#This Row],[payment_status]]="Full",0,IF(Repayment3[[#This Row],[payment_status]]="Partial",0.5,1))</f>
        <v>0.5</v>
      </c>
    </row>
    <row r="138" spans="1:7" x14ac:dyDescent="0.25">
      <c r="A138" t="s">
        <v>282</v>
      </c>
      <c r="B138" t="s">
        <v>283</v>
      </c>
      <c r="C138">
        <v>2</v>
      </c>
      <c r="D138">
        <v>13600</v>
      </c>
      <c r="E138">
        <f>[1]!Repayment[[#This Row],[amount_due]]</f>
        <v>13600</v>
      </c>
      <c r="F138" t="s">
        <v>219</v>
      </c>
      <c r="G138">
        <f>IF(Repayment3[[#This Row],[payment_status]]="Full",0,IF(Repayment3[[#This Row],[payment_status]]="Partial",0.5,1))</f>
        <v>0.5</v>
      </c>
    </row>
    <row r="139" spans="1:7" x14ac:dyDescent="0.25">
      <c r="A139" t="s">
        <v>284</v>
      </c>
      <c r="B139" t="s">
        <v>285</v>
      </c>
      <c r="C139">
        <v>2</v>
      </c>
      <c r="D139">
        <v>18700</v>
      </c>
      <c r="E139">
        <f>[1]!Repayment[[#This Row],[amount_due]]</f>
        <v>18700</v>
      </c>
      <c r="F139" t="s">
        <v>219</v>
      </c>
      <c r="G139">
        <f>IF(Repayment3[[#This Row],[payment_status]]="Full",0,IF(Repayment3[[#This Row],[payment_status]]="Partial",0.5,1))</f>
        <v>0.5</v>
      </c>
    </row>
    <row r="140" spans="1:7" x14ac:dyDescent="0.25">
      <c r="A140" t="s">
        <v>286</v>
      </c>
      <c r="B140" t="s">
        <v>287</v>
      </c>
      <c r="C140">
        <v>2</v>
      </c>
      <c r="D140">
        <v>39100</v>
      </c>
      <c r="E140">
        <f>[1]!Repayment[[#This Row],[amount_due]]</f>
        <v>39100</v>
      </c>
      <c r="F140" t="s">
        <v>219</v>
      </c>
      <c r="G140">
        <f>IF(Repayment3[[#This Row],[payment_status]]="Full",0,IF(Repayment3[[#This Row],[payment_status]]="Partial",0.5,1))</f>
        <v>0.5</v>
      </c>
    </row>
    <row r="141" spans="1:7" x14ac:dyDescent="0.25">
      <c r="A141" t="s">
        <v>288</v>
      </c>
      <c r="B141" t="s">
        <v>289</v>
      </c>
      <c r="C141">
        <v>2</v>
      </c>
      <c r="D141">
        <v>18700</v>
      </c>
      <c r="E141">
        <f>[1]!Repayment[[#This Row],[amount_due]]</f>
        <v>18700</v>
      </c>
      <c r="F141" t="s">
        <v>219</v>
      </c>
      <c r="G141">
        <f>IF(Repayment3[[#This Row],[payment_status]]="Full",0,IF(Repayment3[[#This Row],[payment_status]]="Partial",0.5,1))</f>
        <v>0.5</v>
      </c>
    </row>
    <row r="142" spans="1:7" x14ac:dyDescent="0.25">
      <c r="A142" t="s">
        <v>290</v>
      </c>
      <c r="B142" t="s">
        <v>291</v>
      </c>
      <c r="C142">
        <v>2</v>
      </c>
      <c r="D142">
        <v>15300</v>
      </c>
      <c r="E142">
        <f>[1]!Repayment[[#This Row],[amount_due]]</f>
        <v>15300</v>
      </c>
      <c r="F142" t="s">
        <v>219</v>
      </c>
      <c r="G142">
        <f>IF(Repayment3[[#This Row],[payment_status]]="Full",0,IF(Repayment3[[#This Row],[payment_status]]="Partial",0.5,1))</f>
        <v>0.5</v>
      </c>
    </row>
    <row r="143" spans="1:7" x14ac:dyDescent="0.25">
      <c r="A143" t="s">
        <v>292</v>
      </c>
      <c r="B143" t="s">
        <v>293</v>
      </c>
      <c r="C143">
        <v>2</v>
      </c>
      <c r="D143">
        <v>20400</v>
      </c>
      <c r="E143">
        <f>[1]!Repayment[[#This Row],[amount_due]]</f>
        <v>20400</v>
      </c>
      <c r="F143" t="s">
        <v>219</v>
      </c>
      <c r="G143">
        <f>IF(Repayment3[[#This Row],[payment_status]]="Full",0,IF(Repayment3[[#This Row],[payment_status]]="Partial",0.5,1))</f>
        <v>0.5</v>
      </c>
    </row>
    <row r="144" spans="1:7" x14ac:dyDescent="0.25">
      <c r="A144" t="s">
        <v>294</v>
      </c>
      <c r="B144" t="s">
        <v>295</v>
      </c>
      <c r="C144">
        <v>2</v>
      </c>
      <c r="D144">
        <v>52700</v>
      </c>
      <c r="E144">
        <f>[1]!Repayment[[#This Row],[amount_due]]</f>
        <v>52700</v>
      </c>
      <c r="F144" t="s">
        <v>219</v>
      </c>
      <c r="G144">
        <f>IF(Repayment3[[#This Row],[payment_status]]="Full",0,IF(Repayment3[[#This Row],[payment_status]]="Partial",0.5,1))</f>
        <v>0.5</v>
      </c>
    </row>
    <row r="145" spans="1:7" x14ac:dyDescent="0.25">
      <c r="A145" t="s">
        <v>296</v>
      </c>
      <c r="B145" t="s">
        <v>297</v>
      </c>
      <c r="C145">
        <v>2</v>
      </c>
      <c r="D145">
        <v>76500</v>
      </c>
      <c r="E145">
        <f>[1]!Repayment[[#This Row],[amount_due]]</f>
        <v>76500</v>
      </c>
      <c r="F145" t="s">
        <v>219</v>
      </c>
      <c r="G145">
        <f>IF(Repayment3[[#This Row],[payment_status]]="Full",0,IF(Repayment3[[#This Row],[payment_status]]="Partial",0.5,1))</f>
        <v>0.5</v>
      </c>
    </row>
    <row r="146" spans="1:7" x14ac:dyDescent="0.25">
      <c r="A146" t="s">
        <v>298</v>
      </c>
      <c r="B146" t="s">
        <v>299</v>
      </c>
      <c r="C146">
        <v>2</v>
      </c>
      <c r="D146">
        <v>42500</v>
      </c>
      <c r="E146">
        <f>[1]!Repayment[[#This Row],[amount_due]]</f>
        <v>42500</v>
      </c>
      <c r="F146" t="s">
        <v>219</v>
      </c>
      <c r="G146">
        <f>IF(Repayment3[[#This Row],[payment_status]]="Full",0,IF(Repayment3[[#This Row],[payment_status]]="Partial",0.5,1))</f>
        <v>0.5</v>
      </c>
    </row>
    <row r="147" spans="1:7" x14ac:dyDescent="0.25">
      <c r="A147" t="s">
        <v>300</v>
      </c>
      <c r="B147" t="s">
        <v>301</v>
      </c>
      <c r="C147">
        <v>2</v>
      </c>
      <c r="D147">
        <v>25500</v>
      </c>
      <c r="E147">
        <f>[1]!Repayment[[#This Row],[amount_due]]</f>
        <v>25500</v>
      </c>
      <c r="F147" t="s">
        <v>219</v>
      </c>
      <c r="G147">
        <f>IF(Repayment3[[#This Row],[payment_status]]="Full",0,IF(Repayment3[[#This Row],[payment_status]]="Partial",0.5,1))</f>
        <v>0.5</v>
      </c>
    </row>
    <row r="148" spans="1:7" x14ac:dyDescent="0.25">
      <c r="A148" t="s">
        <v>302</v>
      </c>
      <c r="B148" t="s">
        <v>303</v>
      </c>
      <c r="C148">
        <v>2</v>
      </c>
      <c r="D148">
        <v>57800</v>
      </c>
      <c r="E148">
        <f>[1]!Repayment[[#This Row],[amount_due]]</f>
        <v>57800</v>
      </c>
      <c r="F148" t="s">
        <v>219</v>
      </c>
      <c r="G148">
        <f>IF(Repayment3[[#This Row],[payment_status]]="Full",0,IF(Repayment3[[#This Row],[payment_status]]="Partial",0.5,1))</f>
        <v>0.5</v>
      </c>
    </row>
    <row r="149" spans="1:7" x14ac:dyDescent="0.25">
      <c r="A149" t="s">
        <v>304</v>
      </c>
      <c r="B149" t="s">
        <v>305</v>
      </c>
      <c r="C149">
        <v>2</v>
      </c>
      <c r="D149">
        <v>13600</v>
      </c>
      <c r="E149">
        <f>[1]!Repayment[[#This Row],[amount_due]]</f>
        <v>13600</v>
      </c>
      <c r="F149" t="s">
        <v>219</v>
      </c>
      <c r="G149">
        <f>IF(Repayment3[[#This Row],[payment_status]]="Full",0,IF(Repayment3[[#This Row],[payment_status]]="Partial",0.5,1))</f>
        <v>0.5</v>
      </c>
    </row>
    <row r="150" spans="1:7" x14ac:dyDescent="0.25">
      <c r="A150" t="s">
        <v>306</v>
      </c>
      <c r="B150" t="s">
        <v>307</v>
      </c>
      <c r="C150">
        <v>2</v>
      </c>
      <c r="D150">
        <v>62900</v>
      </c>
      <c r="E150">
        <f>[1]!Repayment[[#This Row],[amount_due]]</f>
        <v>62900</v>
      </c>
      <c r="F150" t="s">
        <v>219</v>
      </c>
      <c r="G150">
        <f>IF(Repayment3[[#This Row],[payment_status]]="Full",0,IF(Repayment3[[#This Row],[payment_status]]="Partial",0.5,1))</f>
        <v>0.5</v>
      </c>
    </row>
    <row r="151" spans="1:7" x14ac:dyDescent="0.25">
      <c r="A151" t="s">
        <v>308</v>
      </c>
      <c r="B151" t="s">
        <v>309</v>
      </c>
      <c r="C151">
        <v>2</v>
      </c>
      <c r="D151">
        <v>49300</v>
      </c>
      <c r="E151">
        <f>[1]!Repayment[[#This Row],[amount_due]]</f>
        <v>49300</v>
      </c>
      <c r="F151" t="s">
        <v>219</v>
      </c>
      <c r="G151">
        <f>IF(Repayment3[[#This Row],[payment_status]]="Full",0,IF(Repayment3[[#This Row],[payment_status]]="Partial",0.5,1))</f>
        <v>0.5</v>
      </c>
    </row>
    <row r="152" spans="1:7" x14ac:dyDescent="0.25">
      <c r="A152" t="s">
        <v>310</v>
      </c>
      <c r="B152" t="s">
        <v>311</v>
      </c>
      <c r="C152">
        <v>2</v>
      </c>
      <c r="D152">
        <v>18700</v>
      </c>
      <c r="E152">
        <f>[1]!Repayment[[#This Row],[amount_due]]</f>
        <v>18700</v>
      </c>
      <c r="F152" t="s">
        <v>219</v>
      </c>
      <c r="G152">
        <f>IF(Repayment3[[#This Row],[payment_status]]="Full",0,IF(Repayment3[[#This Row],[payment_status]]="Partial",0.5,1))</f>
        <v>0.5</v>
      </c>
    </row>
    <row r="153" spans="1:7" x14ac:dyDescent="0.25">
      <c r="A153" t="s">
        <v>312</v>
      </c>
      <c r="B153" t="s">
        <v>313</v>
      </c>
      <c r="C153">
        <v>2</v>
      </c>
      <c r="D153">
        <v>51000</v>
      </c>
      <c r="E153">
        <f>[1]!Repayment[[#This Row],[amount_due]]</f>
        <v>51000</v>
      </c>
      <c r="F153" t="s">
        <v>219</v>
      </c>
      <c r="G153">
        <f>IF(Repayment3[[#This Row],[payment_status]]="Full",0,IF(Repayment3[[#This Row],[payment_status]]="Partial",0.5,1))</f>
        <v>0.5</v>
      </c>
    </row>
    <row r="154" spans="1:7" x14ac:dyDescent="0.25">
      <c r="A154" t="s">
        <v>314</v>
      </c>
      <c r="B154" t="s">
        <v>315</v>
      </c>
      <c r="C154">
        <v>2</v>
      </c>
      <c r="D154">
        <v>27200</v>
      </c>
      <c r="E154">
        <f>[1]!Repayment[[#This Row],[amount_due]]</f>
        <v>27200</v>
      </c>
      <c r="F154" t="s">
        <v>219</v>
      </c>
      <c r="G154">
        <f>IF(Repayment3[[#This Row],[payment_status]]="Full",0,IF(Repayment3[[#This Row],[payment_status]]="Partial",0.5,1))</f>
        <v>0.5</v>
      </c>
    </row>
    <row r="155" spans="1:7" x14ac:dyDescent="0.25">
      <c r="A155" t="s">
        <v>316</v>
      </c>
      <c r="B155" t="s">
        <v>317</v>
      </c>
      <c r="C155">
        <v>2</v>
      </c>
      <c r="D155">
        <v>34000</v>
      </c>
      <c r="E155">
        <f>[1]!Repayment[[#This Row],[amount_due]]</f>
        <v>34000</v>
      </c>
      <c r="F155" t="s">
        <v>219</v>
      </c>
      <c r="G155">
        <f>IF(Repayment3[[#This Row],[payment_status]]="Full",0,IF(Repayment3[[#This Row],[payment_status]]="Partial",0.5,1))</f>
        <v>0.5</v>
      </c>
    </row>
    <row r="156" spans="1:7" x14ac:dyDescent="0.25">
      <c r="A156" t="s">
        <v>318</v>
      </c>
      <c r="B156" t="s">
        <v>319</v>
      </c>
      <c r="C156">
        <v>2</v>
      </c>
      <c r="D156">
        <v>68000</v>
      </c>
      <c r="E156">
        <f>[1]!Repayment[[#This Row],[amount_due]]</f>
        <v>68000</v>
      </c>
      <c r="F156" t="s">
        <v>219</v>
      </c>
      <c r="G156">
        <f>IF(Repayment3[[#This Row],[payment_status]]="Full",0,IF(Repayment3[[#This Row],[payment_status]]="Partial",0.5,1))</f>
        <v>0.5</v>
      </c>
    </row>
    <row r="157" spans="1:7" x14ac:dyDescent="0.25">
      <c r="A157" t="s">
        <v>320</v>
      </c>
      <c r="B157" t="s">
        <v>321</v>
      </c>
      <c r="C157">
        <v>2</v>
      </c>
      <c r="D157">
        <v>15300</v>
      </c>
      <c r="E157">
        <f>[1]!Repayment[[#This Row],[amount_due]]</f>
        <v>15300</v>
      </c>
      <c r="F157" t="s">
        <v>219</v>
      </c>
      <c r="G157">
        <f>IF(Repayment3[[#This Row],[payment_status]]="Full",0,IF(Repayment3[[#This Row],[payment_status]]="Partial",0.5,1))</f>
        <v>0.5</v>
      </c>
    </row>
    <row r="158" spans="1:7" x14ac:dyDescent="0.25">
      <c r="A158" t="s">
        <v>322</v>
      </c>
      <c r="B158" t="s">
        <v>323</v>
      </c>
      <c r="C158">
        <v>2</v>
      </c>
      <c r="D158">
        <v>83300</v>
      </c>
      <c r="E158">
        <f>[1]!Repayment[[#This Row],[amount_due]]</f>
        <v>83300</v>
      </c>
      <c r="F158" t="s">
        <v>219</v>
      </c>
      <c r="G158">
        <f>IF(Repayment3[[#This Row],[payment_status]]="Full",0,IF(Repayment3[[#This Row],[payment_status]]="Partial",0.5,1))</f>
        <v>0.5</v>
      </c>
    </row>
    <row r="159" spans="1:7" x14ac:dyDescent="0.25">
      <c r="A159" t="s">
        <v>324</v>
      </c>
      <c r="B159" t="s">
        <v>325</v>
      </c>
      <c r="C159">
        <v>2</v>
      </c>
      <c r="D159">
        <v>5100</v>
      </c>
      <c r="E159">
        <f>[1]!Repayment[[#This Row],[amount_due]]</f>
        <v>5100</v>
      </c>
      <c r="F159" t="s">
        <v>219</v>
      </c>
      <c r="G159">
        <f>IF(Repayment3[[#This Row],[payment_status]]="Full",0,IF(Repayment3[[#This Row],[payment_status]]="Partial",0.5,1))</f>
        <v>0.5</v>
      </c>
    </row>
    <row r="160" spans="1:7" x14ac:dyDescent="0.25">
      <c r="A160" t="s">
        <v>326</v>
      </c>
      <c r="B160" t="s">
        <v>327</v>
      </c>
      <c r="C160">
        <v>2</v>
      </c>
      <c r="D160">
        <v>11900</v>
      </c>
      <c r="E160">
        <f>[1]!Repayment[[#This Row],[amount_due]]</f>
        <v>11900</v>
      </c>
      <c r="F160" t="s">
        <v>219</v>
      </c>
      <c r="G160">
        <f>IF(Repayment3[[#This Row],[payment_status]]="Full",0,IF(Repayment3[[#This Row],[payment_status]]="Partial",0.5,1))</f>
        <v>0.5</v>
      </c>
    </row>
    <row r="161" spans="1:7" x14ac:dyDescent="0.25">
      <c r="A161" t="s">
        <v>328</v>
      </c>
      <c r="B161" t="s">
        <v>329</v>
      </c>
      <c r="C161">
        <v>2</v>
      </c>
      <c r="D161">
        <v>20400</v>
      </c>
      <c r="E161">
        <f>[1]!Repayment[[#This Row],[amount_due]]</f>
        <v>20400</v>
      </c>
      <c r="F161" t="s">
        <v>219</v>
      </c>
      <c r="G161">
        <f>IF(Repayment3[[#This Row],[payment_status]]="Full",0,IF(Repayment3[[#This Row],[payment_status]]="Partial",0.5,1))</f>
        <v>0.5</v>
      </c>
    </row>
    <row r="162" spans="1:7" x14ac:dyDescent="0.25">
      <c r="A162" t="s">
        <v>330</v>
      </c>
      <c r="B162" t="s">
        <v>331</v>
      </c>
      <c r="C162">
        <v>2</v>
      </c>
      <c r="D162">
        <v>10200</v>
      </c>
      <c r="E162">
        <f>[1]!Repayment[[#This Row],[amount_due]]</f>
        <v>10200</v>
      </c>
      <c r="F162" t="s">
        <v>219</v>
      </c>
      <c r="G162">
        <f>IF(Repayment3[[#This Row],[payment_status]]="Full",0,IF(Repayment3[[#This Row],[payment_status]]="Partial",0.5,1))</f>
        <v>0.5</v>
      </c>
    </row>
    <row r="163" spans="1:7" x14ac:dyDescent="0.25">
      <c r="A163" t="s">
        <v>332</v>
      </c>
      <c r="B163" t="s">
        <v>333</v>
      </c>
      <c r="C163">
        <v>2</v>
      </c>
      <c r="D163">
        <v>85000</v>
      </c>
      <c r="E163">
        <f>[1]!Repayment[[#This Row],[amount_due]]</f>
        <v>85000</v>
      </c>
      <c r="F163" t="s">
        <v>219</v>
      </c>
      <c r="G163">
        <f>IF(Repayment3[[#This Row],[payment_status]]="Full",0,IF(Repayment3[[#This Row],[payment_status]]="Partial",0.5,1))</f>
        <v>0.5</v>
      </c>
    </row>
    <row r="164" spans="1:7" x14ac:dyDescent="0.25">
      <c r="A164" t="s">
        <v>334</v>
      </c>
      <c r="B164" t="s">
        <v>335</v>
      </c>
      <c r="C164">
        <v>2</v>
      </c>
      <c r="D164">
        <v>20400</v>
      </c>
      <c r="E164">
        <f>[1]!Repayment[[#This Row],[amount_due]]</f>
        <v>20400</v>
      </c>
      <c r="F164" t="s">
        <v>336</v>
      </c>
      <c r="G164">
        <f>IF(Repayment3[[#This Row],[payment_status]]="Full",0,IF(Repayment3[[#This Row],[payment_status]]="Partial",0.5,1))</f>
        <v>1</v>
      </c>
    </row>
    <row r="165" spans="1:7" x14ac:dyDescent="0.25">
      <c r="A165" t="s">
        <v>337</v>
      </c>
      <c r="B165" t="s">
        <v>338</v>
      </c>
      <c r="C165">
        <v>2</v>
      </c>
      <c r="D165">
        <v>27200</v>
      </c>
      <c r="E165">
        <f>[1]!Repayment[[#This Row],[amount_due]]</f>
        <v>27200</v>
      </c>
      <c r="F165" t="s">
        <v>336</v>
      </c>
      <c r="G165">
        <f>IF(Repayment3[[#This Row],[payment_status]]="Full",0,IF(Repayment3[[#This Row],[payment_status]]="Partial",0.5,1))</f>
        <v>1</v>
      </c>
    </row>
    <row r="166" spans="1:7" x14ac:dyDescent="0.25">
      <c r="A166" t="s">
        <v>339</v>
      </c>
      <c r="B166" t="s">
        <v>340</v>
      </c>
      <c r="C166">
        <v>2</v>
      </c>
      <c r="D166">
        <v>11900</v>
      </c>
      <c r="E166">
        <f>[1]!Repayment[[#This Row],[amount_due]]</f>
        <v>11900</v>
      </c>
      <c r="F166" t="s">
        <v>336</v>
      </c>
      <c r="G166">
        <f>IF(Repayment3[[#This Row],[payment_status]]="Full",0,IF(Repayment3[[#This Row],[payment_status]]="Partial",0.5,1))</f>
        <v>1</v>
      </c>
    </row>
    <row r="167" spans="1:7" x14ac:dyDescent="0.25">
      <c r="A167" t="s">
        <v>341</v>
      </c>
      <c r="B167" t="s">
        <v>342</v>
      </c>
      <c r="C167">
        <v>2</v>
      </c>
      <c r="D167">
        <v>23800</v>
      </c>
      <c r="E167">
        <f>[1]!Repayment[[#This Row],[amount_due]]</f>
        <v>23800</v>
      </c>
      <c r="F167" t="s">
        <v>336</v>
      </c>
      <c r="G167">
        <f>IF(Repayment3[[#This Row],[payment_status]]="Full",0,IF(Repayment3[[#This Row],[payment_status]]="Partial",0.5,1))</f>
        <v>1</v>
      </c>
    </row>
    <row r="168" spans="1:7" x14ac:dyDescent="0.25">
      <c r="A168" t="s">
        <v>343</v>
      </c>
      <c r="B168" t="s">
        <v>344</v>
      </c>
      <c r="C168">
        <v>2</v>
      </c>
      <c r="D168">
        <v>54400</v>
      </c>
      <c r="E168">
        <f>[1]!Repayment[[#This Row],[amount_due]]</f>
        <v>54400</v>
      </c>
      <c r="F168" t="s">
        <v>336</v>
      </c>
      <c r="G168">
        <f>IF(Repayment3[[#This Row],[payment_status]]="Full",0,IF(Repayment3[[#This Row],[payment_status]]="Partial",0.5,1))</f>
        <v>1</v>
      </c>
    </row>
    <row r="169" spans="1:7" x14ac:dyDescent="0.25">
      <c r="A169" t="s">
        <v>345</v>
      </c>
      <c r="B169" t="s">
        <v>346</v>
      </c>
      <c r="C169">
        <v>2</v>
      </c>
      <c r="D169">
        <v>74800</v>
      </c>
      <c r="E169">
        <f>[1]!Repayment[[#This Row],[amount_due]]</f>
        <v>74800</v>
      </c>
      <c r="F169" t="s">
        <v>336</v>
      </c>
      <c r="G169">
        <f>IF(Repayment3[[#This Row],[payment_status]]="Full",0,IF(Repayment3[[#This Row],[payment_status]]="Partial",0.5,1))</f>
        <v>1</v>
      </c>
    </row>
    <row r="170" spans="1:7" x14ac:dyDescent="0.25">
      <c r="A170" t="s">
        <v>347</v>
      </c>
      <c r="B170" t="s">
        <v>348</v>
      </c>
      <c r="C170">
        <v>2</v>
      </c>
      <c r="D170">
        <v>32300</v>
      </c>
      <c r="E170">
        <f>[1]!Repayment[[#This Row],[amount_due]]</f>
        <v>32300</v>
      </c>
      <c r="F170" t="s">
        <v>336</v>
      </c>
      <c r="G170">
        <f>IF(Repayment3[[#This Row],[payment_status]]="Full",0,IF(Repayment3[[#This Row],[payment_status]]="Partial",0.5,1))</f>
        <v>1</v>
      </c>
    </row>
    <row r="171" spans="1:7" x14ac:dyDescent="0.25">
      <c r="A171" t="s">
        <v>349</v>
      </c>
      <c r="B171" t="s">
        <v>350</v>
      </c>
      <c r="C171">
        <v>2</v>
      </c>
      <c r="D171">
        <v>57800</v>
      </c>
      <c r="E171">
        <f>[1]!Repayment[[#This Row],[amount_due]]</f>
        <v>57800</v>
      </c>
      <c r="F171" t="s">
        <v>336</v>
      </c>
      <c r="G171">
        <f>IF(Repayment3[[#This Row],[payment_status]]="Full",0,IF(Repayment3[[#This Row],[payment_status]]="Partial",0.5,1))</f>
        <v>1</v>
      </c>
    </row>
    <row r="172" spans="1:7" x14ac:dyDescent="0.25">
      <c r="A172" t="s">
        <v>351</v>
      </c>
      <c r="B172" t="s">
        <v>352</v>
      </c>
      <c r="C172">
        <v>2</v>
      </c>
      <c r="D172">
        <v>23800</v>
      </c>
      <c r="E172">
        <f>[1]!Repayment[[#This Row],[amount_due]]</f>
        <v>23800</v>
      </c>
      <c r="F172" t="s">
        <v>336</v>
      </c>
      <c r="G172">
        <f>IF(Repayment3[[#This Row],[payment_status]]="Full",0,IF(Repayment3[[#This Row],[payment_status]]="Partial",0.5,1))</f>
        <v>1</v>
      </c>
    </row>
    <row r="173" spans="1:7" x14ac:dyDescent="0.25">
      <c r="A173" t="s">
        <v>353</v>
      </c>
      <c r="B173" t="s">
        <v>354</v>
      </c>
      <c r="C173">
        <v>2</v>
      </c>
      <c r="D173">
        <v>13600</v>
      </c>
      <c r="E173">
        <f>[1]!Repayment[[#This Row],[amount_due]]</f>
        <v>13600</v>
      </c>
      <c r="F173" t="s">
        <v>336</v>
      </c>
      <c r="G173">
        <f>IF(Repayment3[[#This Row],[payment_status]]="Full",0,IF(Repayment3[[#This Row],[payment_status]]="Partial",0.5,1))</f>
        <v>1</v>
      </c>
    </row>
    <row r="174" spans="1:7" x14ac:dyDescent="0.25">
      <c r="A174" t="s">
        <v>355</v>
      </c>
      <c r="B174" t="s">
        <v>356</v>
      </c>
      <c r="C174">
        <v>2</v>
      </c>
      <c r="D174">
        <v>27200</v>
      </c>
      <c r="E174">
        <f>[1]!Repayment[[#This Row],[amount_due]]</f>
        <v>27200</v>
      </c>
      <c r="F174" t="s">
        <v>336</v>
      </c>
      <c r="G174">
        <f>IF(Repayment3[[#This Row],[payment_status]]="Full",0,IF(Repayment3[[#This Row],[payment_status]]="Partial",0.5,1))</f>
        <v>1</v>
      </c>
    </row>
    <row r="175" spans="1:7" x14ac:dyDescent="0.25">
      <c r="A175" t="s">
        <v>357</v>
      </c>
      <c r="B175" t="s">
        <v>358</v>
      </c>
      <c r="C175">
        <v>2</v>
      </c>
      <c r="D175">
        <v>34000</v>
      </c>
      <c r="E175">
        <f>[1]!Repayment[[#This Row],[amount_due]]</f>
        <v>34000</v>
      </c>
      <c r="F175" t="s">
        <v>336</v>
      </c>
      <c r="G175">
        <f>IF(Repayment3[[#This Row],[payment_status]]="Full",0,IF(Repayment3[[#This Row],[payment_status]]="Partial",0.5,1))</f>
        <v>1</v>
      </c>
    </row>
    <row r="176" spans="1:7" x14ac:dyDescent="0.25">
      <c r="A176" t="s">
        <v>359</v>
      </c>
      <c r="B176" t="s">
        <v>360</v>
      </c>
      <c r="C176">
        <v>2</v>
      </c>
      <c r="D176">
        <v>57800</v>
      </c>
      <c r="E176">
        <f>[1]!Repayment[[#This Row],[amount_due]]</f>
        <v>57800</v>
      </c>
      <c r="F176" t="s">
        <v>336</v>
      </c>
      <c r="G176">
        <f>IF(Repayment3[[#This Row],[payment_status]]="Full",0,IF(Repayment3[[#This Row],[payment_status]]="Partial",0.5,1))</f>
        <v>1</v>
      </c>
    </row>
    <row r="177" spans="1:7" x14ac:dyDescent="0.25">
      <c r="A177" t="s">
        <v>361</v>
      </c>
      <c r="B177" t="s">
        <v>362</v>
      </c>
      <c r="C177">
        <v>2</v>
      </c>
      <c r="D177">
        <v>27200</v>
      </c>
      <c r="E177">
        <f>[1]!Repayment[[#This Row],[amount_due]]</f>
        <v>27200</v>
      </c>
      <c r="F177" t="s">
        <v>336</v>
      </c>
      <c r="G177">
        <f>IF(Repayment3[[#This Row],[payment_status]]="Full",0,IF(Repayment3[[#This Row],[payment_status]]="Partial",0.5,1))</f>
        <v>1</v>
      </c>
    </row>
    <row r="178" spans="1:7" x14ac:dyDescent="0.25">
      <c r="A178" t="s">
        <v>363</v>
      </c>
      <c r="B178" t="s">
        <v>364</v>
      </c>
      <c r="C178">
        <v>2</v>
      </c>
      <c r="D178">
        <v>39100</v>
      </c>
      <c r="E178">
        <f>[1]!Repayment[[#This Row],[amount_due]]</f>
        <v>39100</v>
      </c>
      <c r="F178" t="s">
        <v>336</v>
      </c>
      <c r="G178">
        <f>IF(Repayment3[[#This Row],[payment_status]]="Full",0,IF(Repayment3[[#This Row],[payment_status]]="Partial",0.5,1))</f>
        <v>1</v>
      </c>
    </row>
    <row r="179" spans="1:7" x14ac:dyDescent="0.25">
      <c r="A179" t="s">
        <v>365</v>
      </c>
      <c r="B179" t="s">
        <v>366</v>
      </c>
      <c r="C179">
        <v>2</v>
      </c>
      <c r="D179">
        <v>73100</v>
      </c>
      <c r="E179">
        <f>[1]!Repayment[[#This Row],[amount_due]]</f>
        <v>73100</v>
      </c>
      <c r="F179" t="s">
        <v>336</v>
      </c>
      <c r="G179">
        <f>IF(Repayment3[[#This Row],[payment_status]]="Full",0,IF(Repayment3[[#This Row],[payment_status]]="Partial",0.5,1))</f>
        <v>1</v>
      </c>
    </row>
    <row r="180" spans="1:7" x14ac:dyDescent="0.25">
      <c r="A180" t="s">
        <v>367</v>
      </c>
      <c r="B180" t="s">
        <v>368</v>
      </c>
      <c r="C180">
        <v>2</v>
      </c>
      <c r="D180">
        <v>20400</v>
      </c>
      <c r="E180">
        <f>[1]!Repayment[[#This Row],[amount_due]]</f>
        <v>20400</v>
      </c>
      <c r="F180" t="s">
        <v>336</v>
      </c>
      <c r="G180">
        <f>IF(Repayment3[[#This Row],[payment_status]]="Full",0,IF(Repayment3[[#This Row],[payment_status]]="Partial",0.5,1))</f>
        <v>1</v>
      </c>
    </row>
    <row r="181" spans="1:7" x14ac:dyDescent="0.25">
      <c r="A181" t="s">
        <v>369</v>
      </c>
      <c r="B181" t="s">
        <v>370</v>
      </c>
      <c r="C181">
        <v>2</v>
      </c>
      <c r="D181">
        <v>40800</v>
      </c>
      <c r="E181">
        <f>[1]!Repayment[[#This Row],[amount_due]]</f>
        <v>40800</v>
      </c>
      <c r="F181" t="s">
        <v>336</v>
      </c>
      <c r="G181">
        <f>IF(Repayment3[[#This Row],[payment_status]]="Full",0,IF(Repayment3[[#This Row],[payment_status]]="Partial",0.5,1))</f>
        <v>1</v>
      </c>
    </row>
    <row r="182" spans="1:7" x14ac:dyDescent="0.25">
      <c r="A182" t="s">
        <v>371</v>
      </c>
      <c r="B182" t="s">
        <v>372</v>
      </c>
      <c r="C182">
        <v>2</v>
      </c>
      <c r="D182">
        <v>28900</v>
      </c>
      <c r="E182">
        <f>[1]!Repayment[[#This Row],[amount_due]]</f>
        <v>28900</v>
      </c>
      <c r="F182" t="s">
        <v>336</v>
      </c>
      <c r="G182">
        <f>IF(Repayment3[[#This Row],[payment_status]]="Full",0,IF(Repayment3[[#This Row],[payment_status]]="Partial",0.5,1))</f>
        <v>1</v>
      </c>
    </row>
    <row r="183" spans="1:7" x14ac:dyDescent="0.25">
      <c r="A183" t="s">
        <v>373</v>
      </c>
      <c r="B183" t="s">
        <v>374</v>
      </c>
      <c r="C183">
        <v>2</v>
      </c>
      <c r="D183">
        <v>6800</v>
      </c>
      <c r="E183">
        <f>[1]!Repayment[[#This Row],[amount_due]]</f>
        <v>6800</v>
      </c>
      <c r="F183" t="s">
        <v>336</v>
      </c>
      <c r="G183">
        <f>IF(Repayment3[[#This Row],[payment_status]]="Full",0,IF(Repayment3[[#This Row],[payment_status]]="Partial",0.5,1))</f>
        <v>1</v>
      </c>
    </row>
    <row r="184" spans="1:7" x14ac:dyDescent="0.25">
      <c r="A184" t="s">
        <v>375</v>
      </c>
      <c r="B184" t="s">
        <v>376</v>
      </c>
      <c r="C184">
        <v>2</v>
      </c>
      <c r="D184">
        <v>18700</v>
      </c>
      <c r="E184">
        <f>[1]!Repayment[[#This Row],[amount_due]]</f>
        <v>18700</v>
      </c>
      <c r="F184" t="s">
        <v>336</v>
      </c>
      <c r="G184">
        <f>IF(Repayment3[[#This Row],[payment_status]]="Full",0,IF(Repayment3[[#This Row],[payment_status]]="Partial",0.5,1))</f>
        <v>1</v>
      </c>
    </row>
    <row r="185" spans="1:7" x14ac:dyDescent="0.25">
      <c r="A185" t="s">
        <v>377</v>
      </c>
      <c r="B185" t="s">
        <v>378</v>
      </c>
      <c r="C185">
        <v>2</v>
      </c>
      <c r="D185">
        <v>52700</v>
      </c>
      <c r="E185">
        <f>[1]!Repayment[[#This Row],[amount_due]]</f>
        <v>52700</v>
      </c>
      <c r="F185" t="s">
        <v>336</v>
      </c>
      <c r="G185">
        <f>IF(Repayment3[[#This Row],[payment_status]]="Full",0,IF(Repayment3[[#This Row],[payment_status]]="Partial",0.5,1))</f>
        <v>1</v>
      </c>
    </row>
    <row r="186" spans="1:7" x14ac:dyDescent="0.25">
      <c r="A186" t="s">
        <v>379</v>
      </c>
      <c r="B186" t="s">
        <v>380</v>
      </c>
      <c r="C186">
        <v>2</v>
      </c>
      <c r="D186">
        <v>78200</v>
      </c>
      <c r="E186">
        <f>[1]!Repayment[[#This Row],[amount_due]]</f>
        <v>78200</v>
      </c>
      <c r="F186" t="s">
        <v>336</v>
      </c>
      <c r="G186">
        <f>IF(Repayment3[[#This Row],[payment_status]]="Full",0,IF(Repayment3[[#This Row],[payment_status]]="Partial",0.5,1))</f>
        <v>1</v>
      </c>
    </row>
    <row r="187" spans="1:7" x14ac:dyDescent="0.25">
      <c r="A187" t="s">
        <v>381</v>
      </c>
      <c r="B187" t="s">
        <v>382</v>
      </c>
      <c r="C187">
        <v>2</v>
      </c>
      <c r="D187">
        <v>35700</v>
      </c>
      <c r="E187">
        <f>[1]!Repayment[[#This Row],[amount_due]]</f>
        <v>35700</v>
      </c>
      <c r="F187" t="s">
        <v>336</v>
      </c>
      <c r="G187">
        <f>IF(Repayment3[[#This Row],[payment_status]]="Full",0,IF(Repayment3[[#This Row],[payment_status]]="Partial",0.5,1))</f>
        <v>1</v>
      </c>
    </row>
    <row r="188" spans="1:7" x14ac:dyDescent="0.25">
      <c r="A188" t="s">
        <v>383</v>
      </c>
      <c r="B188" t="s">
        <v>384</v>
      </c>
      <c r="C188">
        <v>2</v>
      </c>
      <c r="D188">
        <v>39100</v>
      </c>
      <c r="E188">
        <f>[1]!Repayment[[#This Row],[amount_due]]</f>
        <v>39100</v>
      </c>
      <c r="F188" t="s">
        <v>336</v>
      </c>
      <c r="G188">
        <f>IF(Repayment3[[#This Row],[payment_status]]="Full",0,IF(Repayment3[[#This Row],[payment_status]]="Partial",0.5,1))</f>
        <v>1</v>
      </c>
    </row>
    <row r="189" spans="1:7" x14ac:dyDescent="0.25">
      <c r="A189" t="s">
        <v>385</v>
      </c>
      <c r="B189" t="s">
        <v>386</v>
      </c>
      <c r="C189">
        <v>2</v>
      </c>
      <c r="D189">
        <v>30600</v>
      </c>
      <c r="E189">
        <f>[1]!Repayment[[#This Row],[amount_due]]</f>
        <v>30600</v>
      </c>
      <c r="F189" t="s">
        <v>336</v>
      </c>
      <c r="G189">
        <f>IF(Repayment3[[#This Row],[payment_status]]="Full",0,IF(Repayment3[[#This Row],[payment_status]]="Partial",0.5,1))</f>
        <v>1</v>
      </c>
    </row>
    <row r="190" spans="1:7" x14ac:dyDescent="0.25">
      <c r="A190" t="s">
        <v>387</v>
      </c>
      <c r="B190" t="s">
        <v>388</v>
      </c>
      <c r="C190">
        <v>2</v>
      </c>
      <c r="D190">
        <v>44200</v>
      </c>
      <c r="E190">
        <f>[1]!Repayment[[#This Row],[amount_due]]</f>
        <v>44200</v>
      </c>
      <c r="F190" t="s">
        <v>336</v>
      </c>
      <c r="G190">
        <f>IF(Repayment3[[#This Row],[payment_status]]="Full",0,IF(Repayment3[[#This Row],[payment_status]]="Partial",0.5,1))</f>
        <v>1</v>
      </c>
    </row>
    <row r="191" spans="1:7" x14ac:dyDescent="0.25">
      <c r="A191" t="s">
        <v>389</v>
      </c>
      <c r="B191" t="s">
        <v>390</v>
      </c>
      <c r="C191">
        <v>2</v>
      </c>
      <c r="D191">
        <v>85000</v>
      </c>
      <c r="E191">
        <f>[1]!Repayment[[#This Row],[amount_due]]</f>
        <v>85000</v>
      </c>
      <c r="F191" t="s">
        <v>336</v>
      </c>
      <c r="G191">
        <f>IF(Repayment3[[#This Row],[payment_status]]="Full",0,IF(Repayment3[[#This Row],[payment_status]]="Partial",0.5,1))</f>
        <v>1</v>
      </c>
    </row>
    <row r="192" spans="1:7" x14ac:dyDescent="0.25">
      <c r="A192" t="s">
        <v>391</v>
      </c>
      <c r="B192" t="s">
        <v>392</v>
      </c>
      <c r="C192">
        <v>2</v>
      </c>
      <c r="D192">
        <v>57800</v>
      </c>
      <c r="E192">
        <f>[1]!Repayment[[#This Row],[amount_due]]</f>
        <v>57800</v>
      </c>
      <c r="F192" t="s">
        <v>336</v>
      </c>
      <c r="G192">
        <f>IF(Repayment3[[#This Row],[payment_status]]="Full",0,IF(Repayment3[[#This Row],[payment_status]]="Partial",0.5,1))</f>
        <v>1</v>
      </c>
    </row>
    <row r="193" spans="1:7" x14ac:dyDescent="0.25">
      <c r="A193" t="s">
        <v>393</v>
      </c>
      <c r="B193" t="s">
        <v>394</v>
      </c>
      <c r="C193">
        <v>2</v>
      </c>
      <c r="D193">
        <v>34000</v>
      </c>
      <c r="E193">
        <f>[1]!Repayment[[#This Row],[amount_due]]</f>
        <v>34000</v>
      </c>
      <c r="F193" t="s">
        <v>336</v>
      </c>
      <c r="G193">
        <f>IF(Repayment3[[#This Row],[payment_status]]="Full",0,IF(Repayment3[[#This Row],[payment_status]]="Partial",0.5,1))</f>
        <v>1</v>
      </c>
    </row>
    <row r="194" spans="1:7" x14ac:dyDescent="0.25">
      <c r="A194" t="s">
        <v>395</v>
      </c>
      <c r="B194" t="s">
        <v>396</v>
      </c>
      <c r="C194">
        <v>2</v>
      </c>
      <c r="D194">
        <v>52700</v>
      </c>
      <c r="E194">
        <f>[1]!Repayment[[#This Row],[amount_due]]</f>
        <v>52700</v>
      </c>
      <c r="F194" t="s">
        <v>336</v>
      </c>
      <c r="G194">
        <f>IF(Repayment3[[#This Row],[payment_status]]="Full",0,IF(Repayment3[[#This Row],[payment_status]]="Partial",0.5,1))</f>
        <v>1</v>
      </c>
    </row>
    <row r="195" spans="1:7" x14ac:dyDescent="0.25">
      <c r="A195" t="s">
        <v>397</v>
      </c>
      <c r="B195" t="s">
        <v>398</v>
      </c>
      <c r="C195">
        <v>2</v>
      </c>
      <c r="D195">
        <v>51000</v>
      </c>
      <c r="E195">
        <f>[1]!Repayment[[#This Row],[amount_due]]</f>
        <v>51000</v>
      </c>
      <c r="F195" t="s">
        <v>336</v>
      </c>
      <c r="G195">
        <f>IF(Repayment3[[#This Row],[payment_status]]="Full",0,IF(Repayment3[[#This Row],[payment_status]]="Partial",0.5,1))</f>
        <v>1</v>
      </c>
    </row>
    <row r="196" spans="1:7" x14ac:dyDescent="0.25">
      <c r="A196" t="s">
        <v>399</v>
      </c>
      <c r="B196" t="s">
        <v>400</v>
      </c>
      <c r="C196">
        <v>2</v>
      </c>
      <c r="D196">
        <v>27200</v>
      </c>
      <c r="E196">
        <f>[1]!Repayment[[#This Row],[amount_due]]</f>
        <v>27200</v>
      </c>
      <c r="F196" t="s">
        <v>336</v>
      </c>
      <c r="G196">
        <f>IF(Repayment3[[#This Row],[payment_status]]="Full",0,IF(Repayment3[[#This Row],[payment_status]]="Partial",0.5,1))</f>
        <v>1</v>
      </c>
    </row>
    <row r="197" spans="1:7" x14ac:dyDescent="0.25">
      <c r="A197" t="s">
        <v>401</v>
      </c>
      <c r="B197" t="s">
        <v>402</v>
      </c>
      <c r="C197">
        <v>2</v>
      </c>
      <c r="D197">
        <v>6800</v>
      </c>
      <c r="E197">
        <f>[1]!Repayment[[#This Row],[amount_due]]</f>
        <v>6800</v>
      </c>
      <c r="F197" t="s">
        <v>336</v>
      </c>
      <c r="G197">
        <f>IF(Repayment3[[#This Row],[payment_status]]="Full",0,IF(Repayment3[[#This Row],[payment_status]]="Partial",0.5,1))</f>
        <v>1</v>
      </c>
    </row>
    <row r="198" spans="1:7" x14ac:dyDescent="0.25">
      <c r="A198" t="s">
        <v>403</v>
      </c>
      <c r="B198" t="s">
        <v>404</v>
      </c>
      <c r="C198">
        <v>2</v>
      </c>
      <c r="D198">
        <v>35700</v>
      </c>
      <c r="E198">
        <f>[1]!Repayment[[#This Row],[amount_due]]</f>
        <v>35700</v>
      </c>
      <c r="F198" t="s">
        <v>336</v>
      </c>
      <c r="G198">
        <f>IF(Repayment3[[#This Row],[payment_status]]="Full",0,IF(Repayment3[[#This Row],[payment_status]]="Partial",0.5,1))</f>
        <v>1</v>
      </c>
    </row>
    <row r="199" spans="1:7" x14ac:dyDescent="0.25">
      <c r="A199" t="s">
        <v>405</v>
      </c>
      <c r="B199" t="s">
        <v>406</v>
      </c>
      <c r="C199">
        <v>2</v>
      </c>
      <c r="D199">
        <v>76500</v>
      </c>
      <c r="E199">
        <f>[1]!Repayment[[#This Row],[amount_due]]</f>
        <v>76500</v>
      </c>
      <c r="F199" t="s">
        <v>336</v>
      </c>
      <c r="G199">
        <f>IF(Repayment3[[#This Row],[payment_status]]="Full",0,IF(Repayment3[[#This Row],[payment_status]]="Partial",0.5,1))</f>
        <v>1</v>
      </c>
    </row>
    <row r="200" spans="1:7" x14ac:dyDescent="0.25">
      <c r="A200" t="s">
        <v>407</v>
      </c>
      <c r="B200" t="s">
        <v>408</v>
      </c>
      <c r="C200">
        <v>2</v>
      </c>
      <c r="D200">
        <v>28900</v>
      </c>
      <c r="E200">
        <f>[1]!Repayment[[#This Row],[amount_due]]</f>
        <v>28900</v>
      </c>
      <c r="F200" t="s">
        <v>336</v>
      </c>
      <c r="G200">
        <f>IF(Repayment3[[#This Row],[payment_status]]="Full",0,IF(Repayment3[[#This Row],[payment_status]]="Partial",0.5,1))</f>
        <v>1</v>
      </c>
    </row>
    <row r="201" spans="1:7" x14ac:dyDescent="0.25">
      <c r="A201" t="s">
        <v>409</v>
      </c>
      <c r="B201" t="s">
        <v>410</v>
      </c>
      <c r="C201">
        <v>2</v>
      </c>
      <c r="D201">
        <v>34000</v>
      </c>
      <c r="E201">
        <f>[1]!Repayment[[#This Row],[amount_due]]</f>
        <v>34000</v>
      </c>
      <c r="F201" t="s">
        <v>336</v>
      </c>
      <c r="G201">
        <f>IF(Repayment3[[#This Row],[payment_status]]="Full",0,IF(Repayment3[[#This Row],[payment_status]]="Partial",0.5,1))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Risk_Summary_M03</vt:lpstr>
      <vt:lpstr>Repayment_M03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2026-01-03T08:26:25Z</dcterms:modified>
</cp:coreProperties>
</file>