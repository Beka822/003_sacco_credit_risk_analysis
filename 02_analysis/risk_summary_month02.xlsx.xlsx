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DEPRIME.SHOP\Documents\003-sacco_credit_analysis\02_analysis\"/>
    </mc:Choice>
  </mc:AlternateContent>
  <xr:revisionPtr revIDLastSave="0" documentId="13_ncr:1_{8CCFC752-4F97-48F7-A37A-F30EF4B952EF}" xr6:coauthVersionLast="47" xr6:coauthVersionMax="47" xr10:uidLastSave="{00000000-0000-0000-0000-000000000000}"/>
  <bookViews>
    <workbookView xWindow="1095" yWindow="1920" windowWidth="7695" windowHeight="7875" xr2:uid="{00000000-000D-0000-FFFF-FFFF00000000}"/>
  </bookViews>
  <sheets>
    <sheet name="Risk_Summary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2" i="2" l="1"/>
  <c r="G202" i="2"/>
  <c r="F202" i="2"/>
  <c r="D202" i="2"/>
  <c r="B202" i="2"/>
  <c r="N201" i="2"/>
  <c r="J201" i="2"/>
  <c r="F201" i="2"/>
  <c r="G201" i="2" s="1"/>
  <c r="D201" i="2"/>
  <c r="C201" i="2"/>
  <c r="B201" i="2"/>
  <c r="N200" i="2"/>
  <c r="G200" i="2"/>
  <c r="F200" i="2"/>
  <c r="D200" i="2"/>
  <c r="B200" i="2"/>
  <c r="N199" i="2"/>
  <c r="J199" i="2"/>
  <c r="H199" i="2"/>
  <c r="I199" i="2" s="1"/>
  <c r="F199" i="2"/>
  <c r="G199" i="2" s="1"/>
  <c r="K199" i="2" s="1"/>
  <c r="M199" i="2" s="1"/>
  <c r="D199" i="2"/>
  <c r="O199" i="2" s="1"/>
  <c r="C199" i="2"/>
  <c r="B199" i="2"/>
  <c r="N198" i="2"/>
  <c r="G198" i="2"/>
  <c r="F198" i="2"/>
  <c r="D198" i="2"/>
  <c r="B198" i="2"/>
  <c r="N197" i="2"/>
  <c r="J197" i="2"/>
  <c r="F197" i="2"/>
  <c r="G197" i="2" s="1"/>
  <c r="D197" i="2"/>
  <c r="C197" i="2"/>
  <c r="B197" i="2"/>
  <c r="N196" i="2"/>
  <c r="G196" i="2"/>
  <c r="F196" i="2"/>
  <c r="D196" i="2"/>
  <c r="B196" i="2"/>
  <c r="N195" i="2"/>
  <c r="J195" i="2"/>
  <c r="H195" i="2"/>
  <c r="I195" i="2" s="1"/>
  <c r="F195" i="2"/>
  <c r="G195" i="2" s="1"/>
  <c r="K195" i="2" s="1"/>
  <c r="M195" i="2" s="1"/>
  <c r="D195" i="2"/>
  <c r="O195" i="2" s="1"/>
  <c r="C195" i="2"/>
  <c r="B195" i="2"/>
  <c r="N194" i="2"/>
  <c r="G194" i="2"/>
  <c r="F194" i="2"/>
  <c r="D194" i="2"/>
  <c r="B194" i="2"/>
  <c r="N193" i="2"/>
  <c r="J193" i="2"/>
  <c r="F193" i="2"/>
  <c r="G193" i="2" s="1"/>
  <c r="D193" i="2"/>
  <c r="C193" i="2"/>
  <c r="B193" i="2"/>
  <c r="N192" i="2"/>
  <c r="G192" i="2"/>
  <c r="F192" i="2"/>
  <c r="D192" i="2"/>
  <c r="B192" i="2"/>
  <c r="N191" i="2"/>
  <c r="J191" i="2"/>
  <c r="H191" i="2"/>
  <c r="I191" i="2" s="1"/>
  <c r="F191" i="2"/>
  <c r="G191" i="2" s="1"/>
  <c r="K191" i="2" s="1"/>
  <c r="M191" i="2" s="1"/>
  <c r="D191" i="2"/>
  <c r="O191" i="2" s="1"/>
  <c r="C191" i="2"/>
  <c r="B191" i="2"/>
  <c r="N190" i="2"/>
  <c r="G190" i="2"/>
  <c r="F190" i="2"/>
  <c r="D190" i="2"/>
  <c r="B190" i="2"/>
  <c r="N189" i="2"/>
  <c r="J189" i="2"/>
  <c r="F189" i="2"/>
  <c r="G189" i="2" s="1"/>
  <c r="D189" i="2"/>
  <c r="C189" i="2"/>
  <c r="B189" i="2"/>
  <c r="N188" i="2"/>
  <c r="G188" i="2"/>
  <c r="F188" i="2"/>
  <c r="D188" i="2"/>
  <c r="B188" i="2"/>
  <c r="N187" i="2"/>
  <c r="J187" i="2"/>
  <c r="H187" i="2"/>
  <c r="I187" i="2" s="1"/>
  <c r="F187" i="2"/>
  <c r="G187" i="2" s="1"/>
  <c r="K187" i="2" s="1"/>
  <c r="M187" i="2" s="1"/>
  <c r="D187" i="2"/>
  <c r="O187" i="2" s="1"/>
  <c r="C187" i="2"/>
  <c r="B187" i="2"/>
  <c r="N186" i="2"/>
  <c r="G186" i="2"/>
  <c r="F186" i="2"/>
  <c r="D186" i="2"/>
  <c r="B186" i="2"/>
  <c r="N185" i="2"/>
  <c r="J185" i="2"/>
  <c r="F185" i="2"/>
  <c r="G185" i="2" s="1"/>
  <c r="D185" i="2"/>
  <c r="C185" i="2"/>
  <c r="B185" i="2"/>
  <c r="N184" i="2"/>
  <c r="F184" i="2"/>
  <c r="G184" i="2" s="1"/>
  <c r="K184" i="2" s="1"/>
  <c r="M184" i="2" s="1"/>
  <c r="D184" i="2"/>
  <c r="C184" i="2"/>
  <c r="O184" i="2" s="1"/>
  <c r="B184" i="2"/>
  <c r="J184" i="2" s="1"/>
  <c r="N183" i="2"/>
  <c r="G183" i="2"/>
  <c r="F183" i="2"/>
  <c r="D183" i="2"/>
  <c r="B183" i="2"/>
  <c r="N182" i="2"/>
  <c r="J182" i="2"/>
  <c r="F182" i="2"/>
  <c r="G182" i="2" s="1"/>
  <c r="D182" i="2"/>
  <c r="C182" i="2"/>
  <c r="B182" i="2"/>
  <c r="N181" i="2"/>
  <c r="G181" i="2"/>
  <c r="F181" i="2"/>
  <c r="D181" i="2"/>
  <c r="B181" i="2"/>
  <c r="N180" i="2"/>
  <c r="J180" i="2"/>
  <c r="H180" i="2"/>
  <c r="I180" i="2" s="1"/>
  <c r="F180" i="2"/>
  <c r="G180" i="2" s="1"/>
  <c r="K180" i="2" s="1"/>
  <c r="M180" i="2" s="1"/>
  <c r="D180" i="2"/>
  <c r="O180" i="2" s="1"/>
  <c r="C180" i="2"/>
  <c r="B180" i="2"/>
  <c r="N179" i="2"/>
  <c r="G179" i="2"/>
  <c r="F179" i="2"/>
  <c r="D179" i="2"/>
  <c r="B179" i="2"/>
  <c r="N178" i="2"/>
  <c r="J178" i="2"/>
  <c r="F178" i="2"/>
  <c r="G178" i="2" s="1"/>
  <c r="D178" i="2"/>
  <c r="C178" i="2"/>
  <c r="B178" i="2"/>
  <c r="N177" i="2"/>
  <c r="G177" i="2"/>
  <c r="F177" i="2"/>
  <c r="D177" i="2"/>
  <c r="B177" i="2"/>
  <c r="N176" i="2"/>
  <c r="J176" i="2"/>
  <c r="H176" i="2"/>
  <c r="I176" i="2" s="1"/>
  <c r="F176" i="2"/>
  <c r="D176" i="2"/>
  <c r="O176" i="2" s="1"/>
  <c r="C176" i="2"/>
  <c r="B176" i="2"/>
  <c r="N175" i="2"/>
  <c r="G175" i="2"/>
  <c r="G176" i="2" s="1"/>
  <c r="F175" i="2"/>
  <c r="D175" i="2"/>
  <c r="B175" i="2"/>
  <c r="N174" i="2"/>
  <c r="J174" i="2"/>
  <c r="F174" i="2"/>
  <c r="G174" i="2" s="1"/>
  <c r="D174" i="2"/>
  <c r="C174" i="2"/>
  <c r="B174" i="2"/>
  <c r="N173" i="2"/>
  <c r="G173" i="2"/>
  <c r="F173" i="2"/>
  <c r="D173" i="2"/>
  <c r="B173" i="2"/>
  <c r="N172" i="2"/>
  <c r="J172" i="2"/>
  <c r="H172" i="2"/>
  <c r="I172" i="2" s="1"/>
  <c r="F172" i="2"/>
  <c r="G172" i="2" s="1"/>
  <c r="K172" i="2" s="1"/>
  <c r="M172" i="2" s="1"/>
  <c r="D172" i="2"/>
  <c r="O172" i="2" s="1"/>
  <c r="C172" i="2"/>
  <c r="B172" i="2"/>
  <c r="N171" i="2"/>
  <c r="G171" i="2"/>
  <c r="F171" i="2"/>
  <c r="D171" i="2"/>
  <c r="B171" i="2"/>
  <c r="N170" i="2"/>
  <c r="J170" i="2"/>
  <c r="F170" i="2"/>
  <c r="G170" i="2" s="1"/>
  <c r="D170" i="2"/>
  <c r="C170" i="2"/>
  <c r="B170" i="2"/>
  <c r="N169" i="2"/>
  <c r="G169" i="2"/>
  <c r="F169" i="2"/>
  <c r="D169" i="2"/>
  <c r="B169" i="2"/>
  <c r="N168" i="2"/>
  <c r="J168" i="2"/>
  <c r="H168" i="2"/>
  <c r="I168" i="2" s="1"/>
  <c r="F168" i="2"/>
  <c r="G168" i="2" s="1"/>
  <c r="K168" i="2" s="1"/>
  <c r="M168" i="2" s="1"/>
  <c r="D168" i="2"/>
  <c r="O168" i="2" s="1"/>
  <c r="C168" i="2"/>
  <c r="B168" i="2"/>
  <c r="N167" i="2"/>
  <c r="G167" i="2"/>
  <c r="F167" i="2"/>
  <c r="D167" i="2"/>
  <c r="B167" i="2"/>
  <c r="N166" i="2"/>
  <c r="J166" i="2"/>
  <c r="F166" i="2"/>
  <c r="G166" i="2" s="1"/>
  <c r="D166" i="2"/>
  <c r="C166" i="2"/>
  <c r="B166" i="2"/>
  <c r="N165" i="2"/>
  <c r="G165" i="2"/>
  <c r="F165" i="2"/>
  <c r="D165" i="2"/>
  <c r="B165" i="2"/>
  <c r="N164" i="2"/>
  <c r="J164" i="2"/>
  <c r="H164" i="2"/>
  <c r="I164" i="2" s="1"/>
  <c r="F164" i="2"/>
  <c r="G164" i="2" s="1"/>
  <c r="K164" i="2" s="1"/>
  <c r="M164" i="2" s="1"/>
  <c r="D164" i="2"/>
  <c r="O164" i="2" s="1"/>
  <c r="C164" i="2"/>
  <c r="B164" i="2"/>
  <c r="N163" i="2"/>
  <c r="G163" i="2"/>
  <c r="F163" i="2"/>
  <c r="D163" i="2"/>
  <c r="B163" i="2"/>
  <c r="N162" i="2"/>
  <c r="J162" i="2"/>
  <c r="F162" i="2"/>
  <c r="G162" i="2" s="1"/>
  <c r="D162" i="2"/>
  <c r="C162" i="2"/>
  <c r="B162" i="2"/>
  <c r="N161" i="2"/>
  <c r="G161" i="2"/>
  <c r="F161" i="2"/>
  <c r="D161" i="2"/>
  <c r="B161" i="2"/>
  <c r="N160" i="2"/>
  <c r="J160" i="2"/>
  <c r="H160" i="2"/>
  <c r="I160" i="2" s="1"/>
  <c r="F160" i="2"/>
  <c r="G160" i="2" s="1"/>
  <c r="K160" i="2" s="1"/>
  <c r="M160" i="2" s="1"/>
  <c r="D160" i="2"/>
  <c r="O160" i="2" s="1"/>
  <c r="C160" i="2"/>
  <c r="B160" i="2"/>
  <c r="N159" i="2"/>
  <c r="G159" i="2"/>
  <c r="F159" i="2"/>
  <c r="D159" i="2"/>
  <c r="B159" i="2"/>
  <c r="N158" i="2"/>
  <c r="J158" i="2"/>
  <c r="F158" i="2"/>
  <c r="G158" i="2" s="1"/>
  <c r="D158" i="2"/>
  <c r="C158" i="2"/>
  <c r="B158" i="2"/>
  <c r="N157" i="2"/>
  <c r="G157" i="2"/>
  <c r="F157" i="2"/>
  <c r="D157" i="2"/>
  <c r="B157" i="2"/>
  <c r="N156" i="2"/>
  <c r="J156" i="2"/>
  <c r="H156" i="2"/>
  <c r="I156" i="2" s="1"/>
  <c r="F156" i="2"/>
  <c r="G156" i="2" s="1"/>
  <c r="K156" i="2" s="1"/>
  <c r="M156" i="2" s="1"/>
  <c r="D156" i="2"/>
  <c r="O156" i="2" s="1"/>
  <c r="C156" i="2"/>
  <c r="B156" i="2"/>
  <c r="N155" i="2"/>
  <c r="G155" i="2"/>
  <c r="F155" i="2"/>
  <c r="D155" i="2"/>
  <c r="B155" i="2"/>
  <c r="N154" i="2"/>
  <c r="J154" i="2"/>
  <c r="F154" i="2"/>
  <c r="G154" i="2" s="1"/>
  <c r="K154" i="2" s="1"/>
  <c r="M154" i="2" s="1"/>
  <c r="D154" i="2"/>
  <c r="C154" i="2"/>
  <c r="B154" i="2"/>
  <c r="N153" i="2"/>
  <c r="I153" i="2"/>
  <c r="G153" i="2"/>
  <c r="H153" i="2" s="1"/>
  <c r="F153" i="2"/>
  <c r="D153" i="2"/>
  <c r="B153" i="2"/>
  <c r="N152" i="2"/>
  <c r="J152" i="2"/>
  <c r="H152" i="2"/>
  <c r="I152" i="2" s="1"/>
  <c r="F152" i="2"/>
  <c r="G152" i="2" s="1"/>
  <c r="K152" i="2" s="1"/>
  <c r="M152" i="2" s="1"/>
  <c r="D152" i="2"/>
  <c r="O152" i="2" s="1"/>
  <c r="C152" i="2"/>
  <c r="B152" i="2"/>
  <c r="N151" i="2"/>
  <c r="G151" i="2"/>
  <c r="H151" i="2" s="1"/>
  <c r="I151" i="2" s="1"/>
  <c r="F151" i="2"/>
  <c r="D151" i="2"/>
  <c r="B151" i="2"/>
  <c r="N150" i="2"/>
  <c r="J150" i="2"/>
  <c r="F150" i="2"/>
  <c r="G150" i="2" s="1"/>
  <c r="K150" i="2" s="1"/>
  <c r="M150" i="2" s="1"/>
  <c r="D150" i="2"/>
  <c r="C150" i="2"/>
  <c r="B150" i="2"/>
  <c r="N149" i="2"/>
  <c r="I149" i="2"/>
  <c r="G149" i="2"/>
  <c r="H149" i="2" s="1"/>
  <c r="F149" i="2"/>
  <c r="D149" i="2"/>
  <c r="B149" i="2"/>
  <c r="N148" i="2"/>
  <c r="J148" i="2"/>
  <c r="H148" i="2"/>
  <c r="I148" i="2" s="1"/>
  <c r="F148" i="2"/>
  <c r="G148" i="2" s="1"/>
  <c r="K148" i="2" s="1"/>
  <c r="M148" i="2" s="1"/>
  <c r="D148" i="2"/>
  <c r="O148" i="2" s="1"/>
  <c r="C148" i="2"/>
  <c r="B148" i="2"/>
  <c r="N147" i="2"/>
  <c r="G147" i="2"/>
  <c r="H147" i="2" s="1"/>
  <c r="I147" i="2" s="1"/>
  <c r="F147" i="2"/>
  <c r="D147" i="2"/>
  <c r="B147" i="2"/>
  <c r="N146" i="2"/>
  <c r="J146" i="2"/>
  <c r="F146" i="2"/>
  <c r="G146" i="2" s="1"/>
  <c r="K146" i="2" s="1"/>
  <c r="M146" i="2" s="1"/>
  <c r="D146" i="2"/>
  <c r="C146" i="2"/>
  <c r="B146" i="2"/>
  <c r="N145" i="2"/>
  <c r="I145" i="2"/>
  <c r="G145" i="2"/>
  <c r="H145" i="2" s="1"/>
  <c r="F145" i="2"/>
  <c r="D145" i="2"/>
  <c r="B145" i="2"/>
  <c r="N144" i="2"/>
  <c r="J144" i="2"/>
  <c r="H144" i="2"/>
  <c r="I144" i="2" s="1"/>
  <c r="F144" i="2"/>
  <c r="G144" i="2" s="1"/>
  <c r="K144" i="2" s="1"/>
  <c r="M144" i="2" s="1"/>
  <c r="D144" i="2"/>
  <c r="O144" i="2" s="1"/>
  <c r="C144" i="2"/>
  <c r="B144" i="2"/>
  <c r="N143" i="2"/>
  <c r="G143" i="2"/>
  <c r="H143" i="2" s="1"/>
  <c r="I143" i="2" s="1"/>
  <c r="F143" i="2"/>
  <c r="D143" i="2"/>
  <c r="B143" i="2"/>
  <c r="N142" i="2"/>
  <c r="J142" i="2"/>
  <c r="F142" i="2"/>
  <c r="G142" i="2" s="1"/>
  <c r="K142" i="2" s="1"/>
  <c r="M142" i="2" s="1"/>
  <c r="D142" i="2"/>
  <c r="C142" i="2"/>
  <c r="B142" i="2"/>
  <c r="N141" i="2"/>
  <c r="I141" i="2"/>
  <c r="G141" i="2"/>
  <c r="H141" i="2" s="1"/>
  <c r="F141" i="2"/>
  <c r="D141" i="2"/>
  <c r="B141" i="2"/>
  <c r="N140" i="2"/>
  <c r="J140" i="2"/>
  <c r="H140" i="2"/>
  <c r="I140" i="2" s="1"/>
  <c r="F140" i="2"/>
  <c r="G140" i="2" s="1"/>
  <c r="K140" i="2" s="1"/>
  <c r="M140" i="2" s="1"/>
  <c r="D140" i="2"/>
  <c r="O140" i="2" s="1"/>
  <c r="C140" i="2"/>
  <c r="B140" i="2"/>
  <c r="N139" i="2"/>
  <c r="G139" i="2"/>
  <c r="H139" i="2" s="1"/>
  <c r="I139" i="2" s="1"/>
  <c r="F139" i="2"/>
  <c r="D139" i="2"/>
  <c r="B139" i="2"/>
  <c r="N138" i="2"/>
  <c r="J138" i="2"/>
  <c r="F138" i="2"/>
  <c r="G138" i="2" s="1"/>
  <c r="K138" i="2" s="1"/>
  <c r="M138" i="2" s="1"/>
  <c r="D138" i="2"/>
  <c r="C138" i="2"/>
  <c r="B138" i="2"/>
  <c r="N137" i="2"/>
  <c r="I137" i="2"/>
  <c r="G137" i="2"/>
  <c r="H137" i="2" s="1"/>
  <c r="F137" i="2"/>
  <c r="D137" i="2"/>
  <c r="B137" i="2"/>
  <c r="N136" i="2"/>
  <c r="J136" i="2"/>
  <c r="H136" i="2"/>
  <c r="I136" i="2" s="1"/>
  <c r="F136" i="2"/>
  <c r="G136" i="2" s="1"/>
  <c r="K136" i="2" s="1"/>
  <c r="M136" i="2" s="1"/>
  <c r="D136" i="2"/>
  <c r="O136" i="2" s="1"/>
  <c r="C136" i="2"/>
  <c r="B136" i="2"/>
  <c r="N135" i="2"/>
  <c r="G135" i="2"/>
  <c r="H135" i="2" s="1"/>
  <c r="I135" i="2" s="1"/>
  <c r="F135" i="2"/>
  <c r="D135" i="2"/>
  <c r="B135" i="2"/>
  <c r="N134" i="2"/>
  <c r="J134" i="2"/>
  <c r="F134" i="2"/>
  <c r="G134" i="2" s="1"/>
  <c r="K134" i="2" s="1"/>
  <c r="M134" i="2" s="1"/>
  <c r="D134" i="2"/>
  <c r="C134" i="2"/>
  <c r="B134" i="2"/>
  <c r="N133" i="2"/>
  <c r="I133" i="2"/>
  <c r="G133" i="2"/>
  <c r="H133" i="2" s="1"/>
  <c r="F133" i="2"/>
  <c r="D133" i="2"/>
  <c r="B133" i="2"/>
  <c r="N132" i="2"/>
  <c r="J132" i="2"/>
  <c r="H132" i="2"/>
  <c r="I132" i="2" s="1"/>
  <c r="F132" i="2"/>
  <c r="G132" i="2" s="1"/>
  <c r="K132" i="2" s="1"/>
  <c r="M132" i="2" s="1"/>
  <c r="D132" i="2"/>
  <c r="O132" i="2" s="1"/>
  <c r="C132" i="2"/>
  <c r="B132" i="2"/>
  <c r="N131" i="2"/>
  <c r="G131" i="2"/>
  <c r="H131" i="2" s="1"/>
  <c r="I131" i="2" s="1"/>
  <c r="F131" i="2"/>
  <c r="D131" i="2"/>
  <c r="B131" i="2"/>
  <c r="N130" i="2"/>
  <c r="J130" i="2"/>
  <c r="F130" i="2"/>
  <c r="G130" i="2" s="1"/>
  <c r="K130" i="2" s="1"/>
  <c r="M130" i="2" s="1"/>
  <c r="D130" i="2"/>
  <c r="C130" i="2"/>
  <c r="B130" i="2"/>
  <c r="N129" i="2"/>
  <c r="I129" i="2"/>
  <c r="G129" i="2"/>
  <c r="H129" i="2" s="1"/>
  <c r="F129" i="2"/>
  <c r="D129" i="2"/>
  <c r="B129" i="2"/>
  <c r="N128" i="2"/>
  <c r="J128" i="2"/>
  <c r="H128" i="2"/>
  <c r="I128" i="2" s="1"/>
  <c r="F128" i="2"/>
  <c r="G128" i="2" s="1"/>
  <c r="K128" i="2" s="1"/>
  <c r="M128" i="2" s="1"/>
  <c r="D128" i="2"/>
  <c r="O128" i="2" s="1"/>
  <c r="C128" i="2"/>
  <c r="B128" i="2"/>
  <c r="N127" i="2"/>
  <c r="G127" i="2"/>
  <c r="H127" i="2" s="1"/>
  <c r="I127" i="2" s="1"/>
  <c r="F127" i="2"/>
  <c r="D127" i="2"/>
  <c r="B127" i="2"/>
  <c r="N126" i="2"/>
  <c r="J126" i="2"/>
  <c r="F126" i="2"/>
  <c r="G126" i="2" s="1"/>
  <c r="K126" i="2" s="1"/>
  <c r="M126" i="2" s="1"/>
  <c r="D126" i="2"/>
  <c r="C126" i="2"/>
  <c r="B126" i="2"/>
  <c r="N125" i="2"/>
  <c r="I125" i="2"/>
  <c r="G125" i="2"/>
  <c r="H125" i="2" s="1"/>
  <c r="F125" i="2"/>
  <c r="D125" i="2"/>
  <c r="B125" i="2"/>
  <c r="N124" i="2"/>
  <c r="J124" i="2"/>
  <c r="H124" i="2"/>
  <c r="I124" i="2" s="1"/>
  <c r="F124" i="2"/>
  <c r="G124" i="2" s="1"/>
  <c r="K124" i="2" s="1"/>
  <c r="M124" i="2" s="1"/>
  <c r="D124" i="2"/>
  <c r="O124" i="2" s="1"/>
  <c r="C124" i="2"/>
  <c r="B124" i="2"/>
  <c r="N123" i="2"/>
  <c r="G123" i="2"/>
  <c r="H123" i="2" s="1"/>
  <c r="I123" i="2" s="1"/>
  <c r="F123" i="2"/>
  <c r="D123" i="2"/>
  <c r="B123" i="2"/>
  <c r="N122" i="2"/>
  <c r="J122" i="2"/>
  <c r="F122" i="2"/>
  <c r="G122" i="2" s="1"/>
  <c r="K122" i="2" s="1"/>
  <c r="M122" i="2" s="1"/>
  <c r="D122" i="2"/>
  <c r="C122" i="2"/>
  <c r="B122" i="2"/>
  <c r="N121" i="2"/>
  <c r="I121" i="2"/>
  <c r="G121" i="2"/>
  <c r="H121" i="2" s="1"/>
  <c r="F121" i="2"/>
  <c r="D121" i="2"/>
  <c r="B121" i="2"/>
  <c r="N120" i="2"/>
  <c r="J120" i="2"/>
  <c r="H120" i="2"/>
  <c r="I120" i="2" s="1"/>
  <c r="F120" i="2"/>
  <c r="G120" i="2" s="1"/>
  <c r="K120" i="2" s="1"/>
  <c r="M120" i="2" s="1"/>
  <c r="D120" i="2"/>
  <c r="O120" i="2" s="1"/>
  <c r="C120" i="2"/>
  <c r="B120" i="2"/>
  <c r="N119" i="2"/>
  <c r="G119" i="2"/>
  <c r="H119" i="2" s="1"/>
  <c r="I119" i="2" s="1"/>
  <c r="F119" i="2"/>
  <c r="D119" i="2"/>
  <c r="B119" i="2"/>
  <c r="N118" i="2"/>
  <c r="J118" i="2"/>
  <c r="F118" i="2"/>
  <c r="G118" i="2" s="1"/>
  <c r="K118" i="2" s="1"/>
  <c r="M118" i="2" s="1"/>
  <c r="D118" i="2"/>
  <c r="C118" i="2"/>
  <c r="B118" i="2"/>
  <c r="N117" i="2"/>
  <c r="I117" i="2"/>
  <c r="G117" i="2"/>
  <c r="H117" i="2" s="1"/>
  <c r="F117" i="2"/>
  <c r="D117" i="2"/>
  <c r="B117" i="2"/>
  <c r="N116" i="2"/>
  <c r="J116" i="2"/>
  <c r="H116" i="2"/>
  <c r="I116" i="2" s="1"/>
  <c r="F116" i="2"/>
  <c r="G116" i="2" s="1"/>
  <c r="K116" i="2" s="1"/>
  <c r="M116" i="2" s="1"/>
  <c r="D116" i="2"/>
  <c r="O116" i="2" s="1"/>
  <c r="C116" i="2"/>
  <c r="B116" i="2"/>
  <c r="N115" i="2"/>
  <c r="G115" i="2"/>
  <c r="H115" i="2" s="1"/>
  <c r="I115" i="2" s="1"/>
  <c r="F115" i="2"/>
  <c r="D115" i="2"/>
  <c r="B115" i="2"/>
  <c r="N114" i="2"/>
  <c r="J114" i="2"/>
  <c r="F114" i="2"/>
  <c r="G114" i="2" s="1"/>
  <c r="K114" i="2" s="1"/>
  <c r="M114" i="2" s="1"/>
  <c r="D114" i="2"/>
  <c r="C114" i="2"/>
  <c r="B114" i="2"/>
  <c r="N113" i="2"/>
  <c r="I113" i="2"/>
  <c r="G113" i="2"/>
  <c r="H113" i="2" s="1"/>
  <c r="F113" i="2"/>
  <c r="D113" i="2"/>
  <c r="B113" i="2"/>
  <c r="N112" i="2"/>
  <c r="J112" i="2"/>
  <c r="H112" i="2"/>
  <c r="I112" i="2" s="1"/>
  <c r="F112" i="2"/>
  <c r="G112" i="2" s="1"/>
  <c r="K112" i="2" s="1"/>
  <c r="M112" i="2" s="1"/>
  <c r="D112" i="2"/>
  <c r="O112" i="2" s="1"/>
  <c r="C112" i="2"/>
  <c r="B112" i="2"/>
  <c r="N111" i="2"/>
  <c r="G111" i="2"/>
  <c r="H111" i="2" s="1"/>
  <c r="I111" i="2" s="1"/>
  <c r="F111" i="2"/>
  <c r="D111" i="2"/>
  <c r="B111" i="2"/>
  <c r="N110" i="2"/>
  <c r="J110" i="2"/>
  <c r="F110" i="2"/>
  <c r="G110" i="2" s="1"/>
  <c r="K110" i="2" s="1"/>
  <c r="M110" i="2" s="1"/>
  <c r="D110" i="2"/>
  <c r="C110" i="2"/>
  <c r="B110" i="2"/>
  <c r="N109" i="2"/>
  <c r="I109" i="2"/>
  <c r="G109" i="2"/>
  <c r="H109" i="2" s="1"/>
  <c r="F109" i="2"/>
  <c r="D109" i="2"/>
  <c r="B109" i="2"/>
  <c r="N108" i="2"/>
  <c r="J108" i="2"/>
  <c r="H108" i="2"/>
  <c r="I108" i="2" s="1"/>
  <c r="F108" i="2"/>
  <c r="G108" i="2" s="1"/>
  <c r="K108" i="2" s="1"/>
  <c r="M108" i="2" s="1"/>
  <c r="D108" i="2"/>
  <c r="O108" i="2" s="1"/>
  <c r="C108" i="2"/>
  <c r="B108" i="2"/>
  <c r="N107" i="2"/>
  <c r="G107" i="2"/>
  <c r="H107" i="2" s="1"/>
  <c r="I107" i="2" s="1"/>
  <c r="F107" i="2"/>
  <c r="D107" i="2"/>
  <c r="B107" i="2"/>
  <c r="N106" i="2"/>
  <c r="J106" i="2"/>
  <c r="F106" i="2"/>
  <c r="G106" i="2" s="1"/>
  <c r="K106" i="2" s="1"/>
  <c r="M106" i="2" s="1"/>
  <c r="D106" i="2"/>
  <c r="C106" i="2"/>
  <c r="B106" i="2"/>
  <c r="N105" i="2"/>
  <c r="I105" i="2"/>
  <c r="G105" i="2"/>
  <c r="H105" i="2" s="1"/>
  <c r="F105" i="2"/>
  <c r="D105" i="2"/>
  <c r="B105" i="2"/>
  <c r="N104" i="2"/>
  <c r="J104" i="2"/>
  <c r="H104" i="2"/>
  <c r="I104" i="2" s="1"/>
  <c r="F104" i="2"/>
  <c r="G104" i="2" s="1"/>
  <c r="K104" i="2" s="1"/>
  <c r="M104" i="2" s="1"/>
  <c r="D104" i="2"/>
  <c r="O104" i="2" s="1"/>
  <c r="C104" i="2"/>
  <c r="B104" i="2"/>
  <c r="N103" i="2"/>
  <c r="G103" i="2"/>
  <c r="H103" i="2" s="1"/>
  <c r="I103" i="2" s="1"/>
  <c r="F103" i="2"/>
  <c r="D103" i="2"/>
  <c r="B103" i="2"/>
  <c r="N102" i="2"/>
  <c r="J102" i="2"/>
  <c r="F102" i="2"/>
  <c r="G102" i="2" s="1"/>
  <c r="K102" i="2" s="1"/>
  <c r="M102" i="2" s="1"/>
  <c r="D102" i="2"/>
  <c r="C102" i="2"/>
  <c r="B102" i="2"/>
  <c r="N101" i="2"/>
  <c r="I101" i="2"/>
  <c r="G101" i="2"/>
  <c r="H101" i="2" s="1"/>
  <c r="F101" i="2"/>
  <c r="D101" i="2"/>
  <c r="B101" i="2"/>
  <c r="N100" i="2"/>
  <c r="J100" i="2"/>
  <c r="H100" i="2"/>
  <c r="I100" i="2" s="1"/>
  <c r="F100" i="2"/>
  <c r="G100" i="2" s="1"/>
  <c r="K100" i="2" s="1"/>
  <c r="M100" i="2" s="1"/>
  <c r="D100" i="2"/>
  <c r="O100" i="2" s="1"/>
  <c r="C100" i="2"/>
  <c r="B100" i="2"/>
  <c r="N99" i="2"/>
  <c r="G99" i="2"/>
  <c r="H99" i="2" s="1"/>
  <c r="I99" i="2" s="1"/>
  <c r="F99" i="2"/>
  <c r="D99" i="2"/>
  <c r="B99" i="2"/>
  <c r="N98" i="2"/>
  <c r="J98" i="2"/>
  <c r="F98" i="2"/>
  <c r="G98" i="2" s="1"/>
  <c r="K98" i="2" s="1"/>
  <c r="M98" i="2" s="1"/>
  <c r="D98" i="2"/>
  <c r="C98" i="2"/>
  <c r="B98" i="2"/>
  <c r="N97" i="2"/>
  <c r="I97" i="2"/>
  <c r="G97" i="2"/>
  <c r="H97" i="2" s="1"/>
  <c r="F97" i="2"/>
  <c r="D97" i="2"/>
  <c r="B97" i="2"/>
  <c r="N96" i="2"/>
  <c r="J96" i="2"/>
  <c r="F96" i="2"/>
  <c r="G96" i="2" s="1"/>
  <c r="D96" i="2"/>
  <c r="C96" i="2"/>
  <c r="B96" i="2"/>
  <c r="N95" i="2"/>
  <c r="G95" i="2"/>
  <c r="H95" i="2" s="1"/>
  <c r="I95" i="2" s="1"/>
  <c r="F95" i="2"/>
  <c r="D95" i="2"/>
  <c r="B95" i="2"/>
  <c r="J95" i="2" s="1"/>
  <c r="N94" i="2"/>
  <c r="J94" i="2"/>
  <c r="F94" i="2"/>
  <c r="G94" i="2" s="1"/>
  <c r="D94" i="2"/>
  <c r="O94" i="2" s="1"/>
  <c r="C94" i="2"/>
  <c r="B94" i="2"/>
  <c r="N93" i="2"/>
  <c r="G93" i="2"/>
  <c r="H93" i="2" s="1"/>
  <c r="I93" i="2" s="1"/>
  <c r="F93" i="2"/>
  <c r="D93" i="2"/>
  <c r="B93" i="2"/>
  <c r="J93" i="2" s="1"/>
  <c r="N92" i="2"/>
  <c r="J92" i="2"/>
  <c r="F92" i="2"/>
  <c r="G92" i="2" s="1"/>
  <c r="D92" i="2"/>
  <c r="O92" i="2" s="1"/>
  <c r="C92" i="2"/>
  <c r="B92" i="2"/>
  <c r="N91" i="2"/>
  <c r="G91" i="2"/>
  <c r="F91" i="2"/>
  <c r="D91" i="2"/>
  <c r="B91" i="2"/>
  <c r="N90" i="2"/>
  <c r="J90" i="2"/>
  <c r="H90" i="2"/>
  <c r="I90" i="2" s="1"/>
  <c r="F90" i="2"/>
  <c r="G90" i="2" s="1"/>
  <c r="K90" i="2" s="1"/>
  <c r="M90" i="2" s="1"/>
  <c r="D90" i="2"/>
  <c r="O90" i="2" s="1"/>
  <c r="C90" i="2"/>
  <c r="B90" i="2"/>
  <c r="N89" i="2"/>
  <c r="G89" i="2"/>
  <c r="H89" i="2" s="1"/>
  <c r="I89" i="2" s="1"/>
  <c r="F89" i="2"/>
  <c r="D89" i="2"/>
  <c r="B89" i="2"/>
  <c r="N88" i="2"/>
  <c r="J88" i="2"/>
  <c r="F88" i="2"/>
  <c r="G88" i="2" s="1"/>
  <c r="K88" i="2" s="1"/>
  <c r="M88" i="2" s="1"/>
  <c r="D88" i="2"/>
  <c r="C88" i="2"/>
  <c r="B88" i="2"/>
  <c r="N87" i="2"/>
  <c r="I87" i="2"/>
  <c r="G87" i="2"/>
  <c r="H87" i="2" s="1"/>
  <c r="F87" i="2"/>
  <c r="D87" i="2"/>
  <c r="B87" i="2"/>
  <c r="N86" i="2"/>
  <c r="J86" i="2"/>
  <c r="H86" i="2"/>
  <c r="I86" i="2" s="1"/>
  <c r="F86" i="2"/>
  <c r="G86" i="2" s="1"/>
  <c r="K86" i="2" s="1"/>
  <c r="M86" i="2" s="1"/>
  <c r="D86" i="2"/>
  <c r="O86" i="2" s="1"/>
  <c r="C86" i="2"/>
  <c r="B86" i="2"/>
  <c r="N85" i="2"/>
  <c r="G85" i="2"/>
  <c r="H85" i="2" s="1"/>
  <c r="I85" i="2" s="1"/>
  <c r="F85" i="2"/>
  <c r="D85" i="2"/>
  <c r="B85" i="2"/>
  <c r="N84" i="2"/>
  <c r="J84" i="2"/>
  <c r="F84" i="2"/>
  <c r="G84" i="2" s="1"/>
  <c r="K84" i="2" s="1"/>
  <c r="M84" i="2" s="1"/>
  <c r="D84" i="2"/>
  <c r="C84" i="2"/>
  <c r="B84" i="2"/>
  <c r="N83" i="2"/>
  <c r="I83" i="2"/>
  <c r="G83" i="2"/>
  <c r="H83" i="2" s="1"/>
  <c r="F83" i="2"/>
  <c r="D83" i="2"/>
  <c r="B83" i="2"/>
  <c r="N82" i="2"/>
  <c r="J82" i="2"/>
  <c r="H82" i="2"/>
  <c r="I82" i="2" s="1"/>
  <c r="F82" i="2"/>
  <c r="G82" i="2" s="1"/>
  <c r="K82" i="2" s="1"/>
  <c r="M82" i="2" s="1"/>
  <c r="D82" i="2"/>
  <c r="O82" i="2" s="1"/>
  <c r="C82" i="2"/>
  <c r="B82" i="2"/>
  <c r="N81" i="2"/>
  <c r="G81" i="2"/>
  <c r="H81" i="2" s="1"/>
  <c r="I81" i="2" s="1"/>
  <c r="F81" i="2"/>
  <c r="D81" i="2"/>
  <c r="B81" i="2"/>
  <c r="N80" i="2"/>
  <c r="J80" i="2"/>
  <c r="F80" i="2"/>
  <c r="G80" i="2" s="1"/>
  <c r="K80" i="2" s="1"/>
  <c r="M80" i="2" s="1"/>
  <c r="D80" i="2"/>
  <c r="C80" i="2"/>
  <c r="B80" i="2"/>
  <c r="N79" i="2"/>
  <c r="I79" i="2"/>
  <c r="G79" i="2"/>
  <c r="H79" i="2" s="1"/>
  <c r="F79" i="2"/>
  <c r="D79" i="2"/>
  <c r="B79" i="2"/>
  <c r="N78" i="2"/>
  <c r="J78" i="2"/>
  <c r="H78" i="2"/>
  <c r="I78" i="2" s="1"/>
  <c r="F78" i="2"/>
  <c r="G78" i="2" s="1"/>
  <c r="K78" i="2" s="1"/>
  <c r="M78" i="2" s="1"/>
  <c r="D78" i="2"/>
  <c r="O78" i="2" s="1"/>
  <c r="C78" i="2"/>
  <c r="B78" i="2"/>
  <c r="N77" i="2"/>
  <c r="G77" i="2"/>
  <c r="H77" i="2" s="1"/>
  <c r="I77" i="2" s="1"/>
  <c r="F77" i="2"/>
  <c r="D77" i="2"/>
  <c r="B77" i="2"/>
  <c r="N76" i="2"/>
  <c r="J76" i="2"/>
  <c r="F76" i="2"/>
  <c r="G76" i="2" s="1"/>
  <c r="K76" i="2" s="1"/>
  <c r="M76" i="2" s="1"/>
  <c r="D76" i="2"/>
  <c r="C76" i="2"/>
  <c r="B76" i="2"/>
  <c r="N75" i="2"/>
  <c r="I75" i="2"/>
  <c r="G75" i="2"/>
  <c r="H75" i="2" s="1"/>
  <c r="F75" i="2"/>
  <c r="D75" i="2"/>
  <c r="B75" i="2"/>
  <c r="N74" i="2"/>
  <c r="J74" i="2"/>
  <c r="H74" i="2"/>
  <c r="I74" i="2" s="1"/>
  <c r="F74" i="2"/>
  <c r="G74" i="2" s="1"/>
  <c r="K74" i="2" s="1"/>
  <c r="M74" i="2" s="1"/>
  <c r="D74" i="2"/>
  <c r="O74" i="2" s="1"/>
  <c r="C74" i="2"/>
  <c r="B74" i="2"/>
  <c r="N73" i="2"/>
  <c r="G73" i="2"/>
  <c r="H73" i="2" s="1"/>
  <c r="I73" i="2" s="1"/>
  <c r="F73" i="2"/>
  <c r="D73" i="2"/>
  <c r="B73" i="2"/>
  <c r="N72" i="2"/>
  <c r="J72" i="2"/>
  <c r="F72" i="2"/>
  <c r="G72" i="2" s="1"/>
  <c r="K72" i="2" s="1"/>
  <c r="M72" i="2" s="1"/>
  <c r="D72" i="2"/>
  <c r="C72" i="2"/>
  <c r="B72" i="2"/>
  <c r="N71" i="2"/>
  <c r="I71" i="2"/>
  <c r="G71" i="2"/>
  <c r="H71" i="2" s="1"/>
  <c r="F71" i="2"/>
  <c r="D71" i="2"/>
  <c r="B71" i="2"/>
  <c r="N70" i="2"/>
  <c r="J70" i="2"/>
  <c r="H70" i="2"/>
  <c r="I70" i="2" s="1"/>
  <c r="F70" i="2"/>
  <c r="G70" i="2" s="1"/>
  <c r="K70" i="2" s="1"/>
  <c r="M70" i="2" s="1"/>
  <c r="D70" i="2"/>
  <c r="O70" i="2" s="1"/>
  <c r="C70" i="2"/>
  <c r="B70" i="2"/>
  <c r="N69" i="2"/>
  <c r="G69" i="2"/>
  <c r="H69" i="2" s="1"/>
  <c r="I69" i="2" s="1"/>
  <c r="F69" i="2"/>
  <c r="D69" i="2"/>
  <c r="B69" i="2"/>
  <c r="N68" i="2"/>
  <c r="J68" i="2"/>
  <c r="F68" i="2"/>
  <c r="G68" i="2" s="1"/>
  <c r="K68" i="2" s="1"/>
  <c r="M68" i="2" s="1"/>
  <c r="D68" i="2"/>
  <c r="C68" i="2"/>
  <c r="B68" i="2"/>
  <c r="N67" i="2"/>
  <c r="I67" i="2"/>
  <c r="G67" i="2"/>
  <c r="H67" i="2" s="1"/>
  <c r="F67" i="2"/>
  <c r="D67" i="2"/>
  <c r="B67" i="2"/>
  <c r="N66" i="2"/>
  <c r="J66" i="2"/>
  <c r="H66" i="2"/>
  <c r="I66" i="2" s="1"/>
  <c r="F66" i="2"/>
  <c r="G66" i="2" s="1"/>
  <c r="K66" i="2" s="1"/>
  <c r="D66" i="2"/>
  <c r="O66" i="2" s="1"/>
  <c r="C66" i="2"/>
  <c r="B66" i="2"/>
  <c r="N65" i="2"/>
  <c r="G65" i="2"/>
  <c r="H65" i="2" s="1"/>
  <c r="I65" i="2" s="1"/>
  <c r="F65" i="2"/>
  <c r="D65" i="2"/>
  <c r="B65" i="2"/>
  <c r="N64" i="2"/>
  <c r="J64" i="2"/>
  <c r="F64" i="2"/>
  <c r="G64" i="2" s="1"/>
  <c r="K64" i="2" s="1"/>
  <c r="M64" i="2" s="1"/>
  <c r="D64" i="2"/>
  <c r="C64" i="2"/>
  <c r="B64" i="2"/>
  <c r="N63" i="2"/>
  <c r="I63" i="2"/>
  <c r="G63" i="2"/>
  <c r="H63" i="2" s="1"/>
  <c r="F63" i="2"/>
  <c r="D63" i="2"/>
  <c r="B63" i="2"/>
  <c r="N62" i="2"/>
  <c r="J62" i="2"/>
  <c r="H62" i="2"/>
  <c r="I62" i="2" s="1"/>
  <c r="F62" i="2"/>
  <c r="G62" i="2" s="1"/>
  <c r="K62" i="2" s="1"/>
  <c r="M62" i="2" s="1"/>
  <c r="D62" i="2"/>
  <c r="O62" i="2" s="1"/>
  <c r="C62" i="2"/>
  <c r="B62" i="2"/>
  <c r="N61" i="2"/>
  <c r="G61" i="2"/>
  <c r="H61" i="2" s="1"/>
  <c r="I61" i="2" s="1"/>
  <c r="F61" i="2"/>
  <c r="D61" i="2"/>
  <c r="B61" i="2"/>
  <c r="N60" i="2"/>
  <c r="J60" i="2"/>
  <c r="F60" i="2"/>
  <c r="G60" i="2" s="1"/>
  <c r="K60" i="2" s="1"/>
  <c r="M60" i="2" s="1"/>
  <c r="D60" i="2"/>
  <c r="C60" i="2"/>
  <c r="B60" i="2"/>
  <c r="N59" i="2"/>
  <c r="I59" i="2"/>
  <c r="G59" i="2"/>
  <c r="H59" i="2" s="1"/>
  <c r="F59" i="2"/>
  <c r="D59" i="2"/>
  <c r="B59" i="2"/>
  <c r="N58" i="2"/>
  <c r="J58" i="2"/>
  <c r="H58" i="2"/>
  <c r="I58" i="2" s="1"/>
  <c r="F58" i="2"/>
  <c r="G58" i="2" s="1"/>
  <c r="K58" i="2" s="1"/>
  <c r="M58" i="2" s="1"/>
  <c r="D58" i="2"/>
  <c r="O58" i="2" s="1"/>
  <c r="C58" i="2"/>
  <c r="B58" i="2"/>
  <c r="N57" i="2"/>
  <c r="G57" i="2"/>
  <c r="H57" i="2" s="1"/>
  <c r="I57" i="2" s="1"/>
  <c r="F57" i="2"/>
  <c r="D57" i="2"/>
  <c r="B57" i="2"/>
  <c r="N56" i="2"/>
  <c r="J56" i="2"/>
  <c r="F56" i="2"/>
  <c r="G56" i="2" s="1"/>
  <c r="K56" i="2" s="1"/>
  <c r="M56" i="2" s="1"/>
  <c r="D56" i="2"/>
  <c r="C56" i="2"/>
  <c r="B56" i="2"/>
  <c r="N55" i="2"/>
  <c r="I55" i="2"/>
  <c r="G55" i="2"/>
  <c r="H55" i="2" s="1"/>
  <c r="F55" i="2"/>
  <c r="D55" i="2"/>
  <c r="B55" i="2"/>
  <c r="N54" i="2"/>
  <c r="J54" i="2"/>
  <c r="H54" i="2"/>
  <c r="I54" i="2" s="1"/>
  <c r="F54" i="2"/>
  <c r="G54" i="2" s="1"/>
  <c r="K54" i="2" s="1"/>
  <c r="M54" i="2" s="1"/>
  <c r="D54" i="2"/>
  <c r="O54" i="2" s="1"/>
  <c r="C54" i="2"/>
  <c r="B54" i="2"/>
  <c r="N53" i="2"/>
  <c r="G53" i="2"/>
  <c r="H53" i="2" s="1"/>
  <c r="I53" i="2" s="1"/>
  <c r="F53" i="2"/>
  <c r="D53" i="2"/>
  <c r="B53" i="2"/>
  <c r="N52" i="2"/>
  <c r="J52" i="2"/>
  <c r="F52" i="2"/>
  <c r="G52" i="2" s="1"/>
  <c r="K52" i="2" s="1"/>
  <c r="M52" i="2" s="1"/>
  <c r="D52" i="2"/>
  <c r="C52" i="2"/>
  <c r="B52" i="2"/>
  <c r="N51" i="2"/>
  <c r="I51" i="2"/>
  <c r="G51" i="2"/>
  <c r="H51" i="2" s="1"/>
  <c r="F51" i="2"/>
  <c r="D51" i="2"/>
  <c r="B51" i="2"/>
  <c r="N50" i="2"/>
  <c r="J50" i="2"/>
  <c r="H50" i="2"/>
  <c r="I50" i="2" s="1"/>
  <c r="F50" i="2"/>
  <c r="G50" i="2" s="1"/>
  <c r="K50" i="2" s="1"/>
  <c r="M50" i="2" s="1"/>
  <c r="D50" i="2"/>
  <c r="O50" i="2" s="1"/>
  <c r="C50" i="2"/>
  <c r="B50" i="2"/>
  <c r="N49" i="2"/>
  <c r="G49" i="2"/>
  <c r="H49" i="2" s="1"/>
  <c r="I49" i="2" s="1"/>
  <c r="F49" i="2"/>
  <c r="D49" i="2"/>
  <c r="B49" i="2"/>
  <c r="N48" i="2"/>
  <c r="J48" i="2"/>
  <c r="F48" i="2"/>
  <c r="G48" i="2" s="1"/>
  <c r="K48" i="2" s="1"/>
  <c r="M48" i="2" s="1"/>
  <c r="D48" i="2"/>
  <c r="C48" i="2"/>
  <c r="B48" i="2"/>
  <c r="N47" i="2"/>
  <c r="I47" i="2"/>
  <c r="G47" i="2"/>
  <c r="H47" i="2" s="1"/>
  <c r="F47" i="2"/>
  <c r="D47" i="2"/>
  <c r="B47" i="2"/>
  <c r="N46" i="2"/>
  <c r="J46" i="2"/>
  <c r="H46" i="2"/>
  <c r="I46" i="2" s="1"/>
  <c r="F46" i="2"/>
  <c r="G46" i="2" s="1"/>
  <c r="K46" i="2" s="1"/>
  <c r="M46" i="2" s="1"/>
  <c r="D46" i="2"/>
  <c r="O46" i="2" s="1"/>
  <c r="C46" i="2"/>
  <c r="B46" i="2"/>
  <c r="N45" i="2"/>
  <c r="G45" i="2"/>
  <c r="H45" i="2" s="1"/>
  <c r="I45" i="2" s="1"/>
  <c r="F45" i="2"/>
  <c r="D45" i="2"/>
  <c r="B45" i="2"/>
  <c r="N44" i="2"/>
  <c r="J44" i="2"/>
  <c r="F44" i="2"/>
  <c r="G44" i="2" s="1"/>
  <c r="K44" i="2" s="1"/>
  <c r="M44" i="2" s="1"/>
  <c r="D44" i="2"/>
  <c r="C44" i="2"/>
  <c r="B44" i="2"/>
  <c r="N43" i="2"/>
  <c r="I43" i="2"/>
  <c r="G43" i="2"/>
  <c r="H43" i="2" s="1"/>
  <c r="F43" i="2"/>
  <c r="D43" i="2"/>
  <c r="B43" i="2"/>
  <c r="N42" i="2"/>
  <c r="J42" i="2"/>
  <c r="H42" i="2"/>
  <c r="I42" i="2" s="1"/>
  <c r="F42" i="2"/>
  <c r="G42" i="2" s="1"/>
  <c r="K42" i="2" s="1"/>
  <c r="M42" i="2" s="1"/>
  <c r="D42" i="2"/>
  <c r="O42" i="2" s="1"/>
  <c r="C42" i="2"/>
  <c r="B42" i="2"/>
  <c r="N41" i="2"/>
  <c r="G41" i="2"/>
  <c r="H41" i="2" s="1"/>
  <c r="I41" i="2" s="1"/>
  <c r="F41" i="2"/>
  <c r="D41" i="2"/>
  <c r="B41" i="2"/>
  <c r="N40" i="2"/>
  <c r="J40" i="2"/>
  <c r="F40" i="2"/>
  <c r="G40" i="2" s="1"/>
  <c r="K40" i="2" s="1"/>
  <c r="M40" i="2" s="1"/>
  <c r="D40" i="2"/>
  <c r="C40" i="2"/>
  <c r="B40" i="2"/>
  <c r="N39" i="2"/>
  <c r="I39" i="2"/>
  <c r="G39" i="2"/>
  <c r="H39" i="2" s="1"/>
  <c r="F39" i="2"/>
  <c r="D39" i="2"/>
  <c r="B39" i="2"/>
  <c r="N38" i="2"/>
  <c r="J38" i="2"/>
  <c r="H38" i="2"/>
  <c r="I38" i="2" s="1"/>
  <c r="F38" i="2"/>
  <c r="G38" i="2" s="1"/>
  <c r="K38" i="2" s="1"/>
  <c r="M38" i="2" s="1"/>
  <c r="D38" i="2"/>
  <c r="O38" i="2" s="1"/>
  <c r="C38" i="2"/>
  <c r="B38" i="2"/>
  <c r="N37" i="2"/>
  <c r="G37" i="2"/>
  <c r="H37" i="2" s="1"/>
  <c r="I37" i="2" s="1"/>
  <c r="F37" i="2"/>
  <c r="D37" i="2"/>
  <c r="B37" i="2"/>
  <c r="N36" i="2"/>
  <c r="J36" i="2"/>
  <c r="F36" i="2"/>
  <c r="G36" i="2" s="1"/>
  <c r="K36" i="2" s="1"/>
  <c r="M36" i="2" s="1"/>
  <c r="D36" i="2"/>
  <c r="C36" i="2"/>
  <c r="B36" i="2"/>
  <c r="N35" i="2"/>
  <c r="I35" i="2"/>
  <c r="G35" i="2"/>
  <c r="H35" i="2" s="1"/>
  <c r="F35" i="2"/>
  <c r="D35" i="2"/>
  <c r="B35" i="2"/>
  <c r="N34" i="2"/>
  <c r="J34" i="2"/>
  <c r="H34" i="2"/>
  <c r="I34" i="2" s="1"/>
  <c r="F34" i="2"/>
  <c r="G34" i="2" s="1"/>
  <c r="K34" i="2" s="1"/>
  <c r="M34" i="2" s="1"/>
  <c r="D34" i="2"/>
  <c r="O34" i="2" s="1"/>
  <c r="C34" i="2"/>
  <c r="B34" i="2"/>
  <c r="N33" i="2"/>
  <c r="G33" i="2"/>
  <c r="H33" i="2" s="1"/>
  <c r="I33" i="2" s="1"/>
  <c r="F33" i="2"/>
  <c r="D33" i="2"/>
  <c r="B33" i="2"/>
  <c r="N32" i="2"/>
  <c r="J32" i="2"/>
  <c r="F32" i="2"/>
  <c r="G32" i="2" s="1"/>
  <c r="K32" i="2" s="1"/>
  <c r="M32" i="2" s="1"/>
  <c r="D32" i="2"/>
  <c r="C32" i="2"/>
  <c r="B32" i="2"/>
  <c r="N31" i="2"/>
  <c r="I31" i="2"/>
  <c r="G31" i="2"/>
  <c r="H31" i="2" s="1"/>
  <c r="F31" i="2"/>
  <c r="D31" i="2"/>
  <c r="B31" i="2"/>
  <c r="N30" i="2"/>
  <c r="J30" i="2"/>
  <c r="H30" i="2"/>
  <c r="I30" i="2" s="1"/>
  <c r="F30" i="2"/>
  <c r="G30" i="2" s="1"/>
  <c r="K30" i="2" s="1"/>
  <c r="M30" i="2" s="1"/>
  <c r="D30" i="2"/>
  <c r="O30" i="2" s="1"/>
  <c r="C30" i="2"/>
  <c r="B30" i="2"/>
  <c r="N29" i="2"/>
  <c r="G29" i="2"/>
  <c r="H29" i="2" s="1"/>
  <c r="I29" i="2" s="1"/>
  <c r="F29" i="2"/>
  <c r="D29" i="2"/>
  <c r="B29" i="2"/>
  <c r="N28" i="2"/>
  <c r="J28" i="2"/>
  <c r="F28" i="2"/>
  <c r="G28" i="2" s="1"/>
  <c r="K28" i="2" s="1"/>
  <c r="M28" i="2" s="1"/>
  <c r="D28" i="2"/>
  <c r="C28" i="2"/>
  <c r="B28" i="2"/>
  <c r="N27" i="2"/>
  <c r="I27" i="2"/>
  <c r="G27" i="2"/>
  <c r="H27" i="2" s="1"/>
  <c r="F27" i="2"/>
  <c r="D27" i="2"/>
  <c r="B27" i="2"/>
  <c r="N26" i="2"/>
  <c r="J26" i="2"/>
  <c r="H26" i="2"/>
  <c r="I26" i="2" s="1"/>
  <c r="F26" i="2"/>
  <c r="G26" i="2" s="1"/>
  <c r="K26" i="2" s="1"/>
  <c r="M26" i="2" s="1"/>
  <c r="D26" i="2"/>
  <c r="O26" i="2" s="1"/>
  <c r="C26" i="2"/>
  <c r="B26" i="2"/>
  <c r="N25" i="2"/>
  <c r="G25" i="2"/>
  <c r="H25" i="2" s="1"/>
  <c r="I25" i="2" s="1"/>
  <c r="F25" i="2"/>
  <c r="D25" i="2"/>
  <c r="B25" i="2"/>
  <c r="N24" i="2"/>
  <c r="J24" i="2"/>
  <c r="F24" i="2"/>
  <c r="G24" i="2" s="1"/>
  <c r="K24" i="2" s="1"/>
  <c r="M24" i="2" s="1"/>
  <c r="D24" i="2"/>
  <c r="C24" i="2"/>
  <c r="B24" i="2"/>
  <c r="N23" i="2"/>
  <c r="I23" i="2"/>
  <c r="G23" i="2"/>
  <c r="H23" i="2" s="1"/>
  <c r="F23" i="2"/>
  <c r="D23" i="2"/>
  <c r="B23" i="2"/>
  <c r="N22" i="2"/>
  <c r="J22" i="2"/>
  <c r="H22" i="2"/>
  <c r="I22" i="2" s="1"/>
  <c r="F22" i="2"/>
  <c r="G22" i="2" s="1"/>
  <c r="K22" i="2" s="1"/>
  <c r="M22" i="2" s="1"/>
  <c r="D22" i="2"/>
  <c r="O22" i="2" s="1"/>
  <c r="C22" i="2"/>
  <c r="B22" i="2"/>
  <c r="N21" i="2"/>
  <c r="G21" i="2"/>
  <c r="H21" i="2" s="1"/>
  <c r="I21" i="2" s="1"/>
  <c r="F21" i="2"/>
  <c r="D21" i="2"/>
  <c r="B21" i="2"/>
  <c r="N20" i="2"/>
  <c r="J20" i="2"/>
  <c r="F20" i="2"/>
  <c r="G20" i="2" s="1"/>
  <c r="K20" i="2" s="1"/>
  <c r="M20" i="2" s="1"/>
  <c r="D20" i="2"/>
  <c r="C20" i="2"/>
  <c r="B20" i="2"/>
  <c r="N19" i="2"/>
  <c r="I19" i="2"/>
  <c r="G19" i="2"/>
  <c r="H19" i="2" s="1"/>
  <c r="F19" i="2"/>
  <c r="D19" i="2"/>
  <c r="B19" i="2"/>
  <c r="N18" i="2"/>
  <c r="J18" i="2"/>
  <c r="H18" i="2"/>
  <c r="I18" i="2" s="1"/>
  <c r="F18" i="2"/>
  <c r="G18" i="2" s="1"/>
  <c r="K18" i="2" s="1"/>
  <c r="M18" i="2" s="1"/>
  <c r="D18" i="2"/>
  <c r="O18" i="2" s="1"/>
  <c r="C18" i="2"/>
  <c r="B18" i="2"/>
  <c r="N17" i="2"/>
  <c r="G17" i="2"/>
  <c r="H17" i="2" s="1"/>
  <c r="I17" i="2" s="1"/>
  <c r="F17" i="2"/>
  <c r="D17" i="2"/>
  <c r="B17" i="2"/>
  <c r="N16" i="2"/>
  <c r="J16" i="2"/>
  <c r="F16" i="2"/>
  <c r="G16" i="2" s="1"/>
  <c r="K16" i="2" s="1"/>
  <c r="M16" i="2" s="1"/>
  <c r="D16" i="2"/>
  <c r="C16" i="2"/>
  <c r="B16" i="2"/>
  <c r="N15" i="2"/>
  <c r="I15" i="2"/>
  <c r="G15" i="2"/>
  <c r="H15" i="2" s="1"/>
  <c r="F15" i="2"/>
  <c r="D15" i="2"/>
  <c r="B15" i="2"/>
  <c r="N14" i="2"/>
  <c r="J14" i="2"/>
  <c r="H14" i="2"/>
  <c r="I14" i="2" s="1"/>
  <c r="F14" i="2"/>
  <c r="G14" i="2" s="1"/>
  <c r="K14" i="2" s="1"/>
  <c r="M14" i="2" s="1"/>
  <c r="D14" i="2"/>
  <c r="O14" i="2" s="1"/>
  <c r="C14" i="2"/>
  <c r="B14" i="2"/>
  <c r="N13" i="2"/>
  <c r="G13" i="2"/>
  <c r="H13" i="2" s="1"/>
  <c r="I13" i="2" s="1"/>
  <c r="F13" i="2"/>
  <c r="D13" i="2"/>
  <c r="B13" i="2"/>
  <c r="N12" i="2"/>
  <c r="J12" i="2"/>
  <c r="F12" i="2"/>
  <c r="G12" i="2" s="1"/>
  <c r="K12" i="2" s="1"/>
  <c r="M12" i="2" s="1"/>
  <c r="D12" i="2"/>
  <c r="C12" i="2"/>
  <c r="B12" i="2"/>
  <c r="N11" i="2"/>
  <c r="I11" i="2"/>
  <c r="G11" i="2"/>
  <c r="H11" i="2" s="1"/>
  <c r="F11" i="2"/>
  <c r="D11" i="2"/>
  <c r="B11" i="2"/>
  <c r="N10" i="2"/>
  <c r="J10" i="2"/>
  <c r="H10" i="2"/>
  <c r="I10" i="2" s="1"/>
  <c r="F10" i="2"/>
  <c r="G10" i="2" s="1"/>
  <c r="K10" i="2" s="1"/>
  <c r="M10" i="2" s="1"/>
  <c r="D10" i="2"/>
  <c r="O10" i="2" s="1"/>
  <c r="C10" i="2"/>
  <c r="B10" i="2"/>
  <c r="N9" i="2"/>
  <c r="G9" i="2"/>
  <c r="H9" i="2" s="1"/>
  <c r="I9" i="2" s="1"/>
  <c r="F9" i="2"/>
  <c r="D9" i="2"/>
  <c r="B9" i="2"/>
  <c r="N8" i="2"/>
  <c r="J8" i="2"/>
  <c r="F8" i="2"/>
  <c r="G8" i="2" s="1"/>
  <c r="K8" i="2" s="1"/>
  <c r="M8" i="2" s="1"/>
  <c r="D8" i="2"/>
  <c r="C8" i="2"/>
  <c r="B8" i="2"/>
  <c r="N7" i="2"/>
  <c r="I7" i="2"/>
  <c r="G7" i="2"/>
  <c r="H7" i="2" s="1"/>
  <c r="F7" i="2"/>
  <c r="D7" i="2"/>
  <c r="B7" i="2"/>
  <c r="N6" i="2"/>
  <c r="J6" i="2"/>
  <c r="H6" i="2"/>
  <c r="I6" i="2" s="1"/>
  <c r="F6" i="2"/>
  <c r="G6" i="2" s="1"/>
  <c r="K6" i="2" s="1"/>
  <c r="M6" i="2" s="1"/>
  <c r="D6" i="2"/>
  <c r="O6" i="2" s="1"/>
  <c r="C6" i="2"/>
  <c r="B6" i="2"/>
  <c r="N5" i="2"/>
  <c r="G5" i="2"/>
  <c r="H5" i="2" s="1"/>
  <c r="I5" i="2" s="1"/>
  <c r="F5" i="2"/>
  <c r="D5" i="2"/>
  <c r="B5" i="2"/>
  <c r="N4" i="2"/>
  <c r="J4" i="2"/>
  <c r="F4" i="2"/>
  <c r="G4" i="2" s="1"/>
  <c r="K4" i="2" s="1"/>
  <c r="M4" i="2" s="1"/>
  <c r="D4" i="2"/>
  <c r="C4" i="2"/>
  <c r="B4" i="2"/>
  <c r="N3" i="2"/>
  <c r="I3" i="2"/>
  <c r="G3" i="2"/>
  <c r="H3" i="2" s="1"/>
  <c r="F3" i="2"/>
  <c r="D3" i="2"/>
  <c r="B3" i="2"/>
  <c r="N2" i="2"/>
  <c r="J2" i="2"/>
  <c r="H2" i="2"/>
  <c r="I2" i="2" s="1"/>
  <c r="F2" i="2"/>
  <c r="G2" i="2" s="1"/>
  <c r="K2" i="2" s="1"/>
  <c r="D2" i="2"/>
  <c r="O2" i="2" s="1"/>
  <c r="C2" i="2"/>
  <c r="B2" i="2"/>
  <c r="O9" i="2" l="1"/>
  <c r="O17" i="2"/>
  <c r="O25" i="2"/>
  <c r="O33" i="2"/>
  <c r="O41" i="2"/>
  <c r="O49" i="2"/>
  <c r="O57" i="2"/>
  <c r="O65" i="2"/>
  <c r="O73" i="2"/>
  <c r="O81" i="2"/>
  <c r="O89" i="2"/>
  <c r="J3" i="2"/>
  <c r="C3" i="2"/>
  <c r="O3" i="2" s="1"/>
  <c r="J7" i="2"/>
  <c r="K7" i="2" s="1"/>
  <c r="M7" i="2" s="1"/>
  <c r="C7" i="2"/>
  <c r="O7" i="2" s="1"/>
  <c r="J11" i="2"/>
  <c r="C11" i="2"/>
  <c r="O11" i="2" s="1"/>
  <c r="J15" i="2"/>
  <c r="K15" i="2" s="1"/>
  <c r="M15" i="2" s="1"/>
  <c r="C15" i="2"/>
  <c r="O15" i="2" s="1"/>
  <c r="J19" i="2"/>
  <c r="C19" i="2"/>
  <c r="O19" i="2" s="1"/>
  <c r="J23" i="2"/>
  <c r="K23" i="2" s="1"/>
  <c r="M23" i="2" s="1"/>
  <c r="C23" i="2"/>
  <c r="O23" i="2" s="1"/>
  <c r="J27" i="2"/>
  <c r="C27" i="2"/>
  <c r="O27" i="2" s="1"/>
  <c r="J31" i="2"/>
  <c r="K31" i="2" s="1"/>
  <c r="M31" i="2" s="1"/>
  <c r="C31" i="2"/>
  <c r="O31" i="2" s="1"/>
  <c r="J35" i="2"/>
  <c r="C35" i="2"/>
  <c r="O35" i="2" s="1"/>
  <c r="J39" i="2"/>
  <c r="K39" i="2" s="1"/>
  <c r="M39" i="2" s="1"/>
  <c r="C39" i="2"/>
  <c r="O39" i="2" s="1"/>
  <c r="J43" i="2"/>
  <c r="C43" i="2"/>
  <c r="O43" i="2" s="1"/>
  <c r="J47" i="2"/>
  <c r="K47" i="2" s="1"/>
  <c r="M47" i="2" s="1"/>
  <c r="C47" i="2"/>
  <c r="O47" i="2" s="1"/>
  <c r="J51" i="2"/>
  <c r="C51" i="2"/>
  <c r="O51" i="2" s="1"/>
  <c r="J55" i="2"/>
  <c r="K55" i="2" s="1"/>
  <c r="M55" i="2" s="1"/>
  <c r="C55" i="2"/>
  <c r="O55" i="2" s="1"/>
  <c r="J59" i="2"/>
  <c r="C59" i="2"/>
  <c r="O59" i="2" s="1"/>
  <c r="J63" i="2"/>
  <c r="K63" i="2" s="1"/>
  <c r="M63" i="2" s="1"/>
  <c r="C63" i="2"/>
  <c r="O63" i="2" s="1"/>
  <c r="J67" i="2"/>
  <c r="C67" i="2"/>
  <c r="O67" i="2" s="1"/>
  <c r="J71" i="2"/>
  <c r="K71" i="2" s="1"/>
  <c r="M71" i="2" s="1"/>
  <c r="C71" i="2"/>
  <c r="O71" i="2" s="1"/>
  <c r="J75" i="2"/>
  <c r="C75" i="2"/>
  <c r="O75" i="2" s="1"/>
  <c r="J79" i="2"/>
  <c r="K79" i="2" s="1"/>
  <c r="M79" i="2" s="1"/>
  <c r="C79" i="2"/>
  <c r="O79" i="2" s="1"/>
  <c r="J83" i="2"/>
  <c r="C83" i="2"/>
  <c r="O83" i="2" s="1"/>
  <c r="J87" i="2"/>
  <c r="K87" i="2" s="1"/>
  <c r="M87" i="2" s="1"/>
  <c r="C87" i="2"/>
  <c r="O87" i="2" s="1"/>
  <c r="J91" i="2"/>
  <c r="C91" i="2"/>
  <c r="K94" i="2"/>
  <c r="M94" i="2" s="1"/>
  <c r="H94" i="2"/>
  <c r="I94" i="2" s="1"/>
  <c r="M2" i="2"/>
  <c r="K3" i="2"/>
  <c r="M3" i="2" s="1"/>
  <c r="O4" i="2"/>
  <c r="H4" i="2"/>
  <c r="I4" i="2" s="1"/>
  <c r="J5" i="2"/>
  <c r="K5" i="2" s="1"/>
  <c r="M5" i="2" s="1"/>
  <c r="C5" i="2"/>
  <c r="O5" i="2" s="1"/>
  <c r="O8" i="2"/>
  <c r="H8" i="2"/>
  <c r="I8" i="2" s="1"/>
  <c r="J9" i="2"/>
  <c r="K9" i="2" s="1"/>
  <c r="M9" i="2" s="1"/>
  <c r="C9" i="2"/>
  <c r="K11" i="2"/>
  <c r="M11" i="2" s="1"/>
  <c r="O12" i="2"/>
  <c r="H12" i="2"/>
  <c r="I12" i="2" s="1"/>
  <c r="J13" i="2"/>
  <c r="K13" i="2" s="1"/>
  <c r="M13" i="2" s="1"/>
  <c r="C13" i="2"/>
  <c r="O13" i="2" s="1"/>
  <c r="O16" i="2"/>
  <c r="H16" i="2"/>
  <c r="I16" i="2" s="1"/>
  <c r="J17" i="2"/>
  <c r="K17" i="2" s="1"/>
  <c r="M17" i="2" s="1"/>
  <c r="C17" i="2"/>
  <c r="K19" i="2"/>
  <c r="M19" i="2" s="1"/>
  <c r="O20" i="2"/>
  <c r="H20" i="2"/>
  <c r="I20" i="2" s="1"/>
  <c r="J21" i="2"/>
  <c r="K21" i="2" s="1"/>
  <c r="M21" i="2" s="1"/>
  <c r="C21" i="2"/>
  <c r="O21" i="2" s="1"/>
  <c r="O24" i="2"/>
  <c r="H24" i="2"/>
  <c r="I24" i="2" s="1"/>
  <c r="J25" i="2"/>
  <c r="K25" i="2" s="1"/>
  <c r="M25" i="2" s="1"/>
  <c r="C25" i="2"/>
  <c r="K27" i="2"/>
  <c r="M27" i="2" s="1"/>
  <c r="O28" i="2"/>
  <c r="H28" i="2"/>
  <c r="I28" i="2" s="1"/>
  <c r="J29" i="2"/>
  <c r="K29" i="2" s="1"/>
  <c r="M29" i="2" s="1"/>
  <c r="C29" i="2"/>
  <c r="O29" i="2" s="1"/>
  <c r="O32" i="2"/>
  <c r="H32" i="2"/>
  <c r="I32" i="2" s="1"/>
  <c r="J33" i="2"/>
  <c r="K33" i="2" s="1"/>
  <c r="M33" i="2" s="1"/>
  <c r="C33" i="2"/>
  <c r="K35" i="2"/>
  <c r="M35" i="2" s="1"/>
  <c r="O36" i="2"/>
  <c r="H36" i="2"/>
  <c r="I36" i="2" s="1"/>
  <c r="J37" i="2"/>
  <c r="K37" i="2" s="1"/>
  <c r="M37" i="2" s="1"/>
  <c r="C37" i="2"/>
  <c r="O37" i="2" s="1"/>
  <c r="O40" i="2"/>
  <c r="H40" i="2"/>
  <c r="I40" i="2" s="1"/>
  <c r="J41" i="2"/>
  <c r="K41" i="2" s="1"/>
  <c r="M41" i="2" s="1"/>
  <c r="C41" i="2"/>
  <c r="K43" i="2"/>
  <c r="M43" i="2" s="1"/>
  <c r="O44" i="2"/>
  <c r="H44" i="2"/>
  <c r="I44" i="2" s="1"/>
  <c r="J45" i="2"/>
  <c r="K45" i="2" s="1"/>
  <c r="M45" i="2" s="1"/>
  <c r="C45" i="2"/>
  <c r="O45" i="2" s="1"/>
  <c r="O48" i="2"/>
  <c r="H48" i="2"/>
  <c r="I48" i="2" s="1"/>
  <c r="J49" i="2"/>
  <c r="K49" i="2" s="1"/>
  <c r="M49" i="2" s="1"/>
  <c r="C49" i="2"/>
  <c r="K51" i="2"/>
  <c r="M51" i="2" s="1"/>
  <c r="O52" i="2"/>
  <c r="H52" i="2"/>
  <c r="I52" i="2" s="1"/>
  <c r="J53" i="2"/>
  <c r="K53" i="2" s="1"/>
  <c r="M53" i="2" s="1"/>
  <c r="C53" i="2"/>
  <c r="O53" i="2" s="1"/>
  <c r="O56" i="2"/>
  <c r="H56" i="2"/>
  <c r="I56" i="2" s="1"/>
  <c r="J57" i="2"/>
  <c r="K57" i="2" s="1"/>
  <c r="M57" i="2" s="1"/>
  <c r="C57" i="2"/>
  <c r="K59" i="2"/>
  <c r="M59" i="2" s="1"/>
  <c r="O60" i="2"/>
  <c r="H60" i="2"/>
  <c r="I60" i="2" s="1"/>
  <c r="J61" i="2"/>
  <c r="K61" i="2" s="1"/>
  <c r="M61" i="2" s="1"/>
  <c r="C61" i="2"/>
  <c r="O61" i="2" s="1"/>
  <c r="O64" i="2"/>
  <c r="H64" i="2"/>
  <c r="I64" i="2" s="1"/>
  <c r="J65" i="2"/>
  <c r="K65" i="2" s="1"/>
  <c r="M65" i="2" s="1"/>
  <c r="C65" i="2"/>
  <c r="K67" i="2"/>
  <c r="M67" i="2" s="1"/>
  <c r="O68" i="2"/>
  <c r="H68" i="2"/>
  <c r="I68" i="2" s="1"/>
  <c r="J69" i="2"/>
  <c r="K69" i="2" s="1"/>
  <c r="M69" i="2" s="1"/>
  <c r="C69" i="2"/>
  <c r="O69" i="2" s="1"/>
  <c r="O72" i="2"/>
  <c r="H72" i="2"/>
  <c r="I72" i="2" s="1"/>
  <c r="J73" i="2"/>
  <c r="K73" i="2" s="1"/>
  <c r="M73" i="2" s="1"/>
  <c r="C73" i="2"/>
  <c r="K75" i="2"/>
  <c r="M75" i="2" s="1"/>
  <c r="O76" i="2"/>
  <c r="H76" i="2"/>
  <c r="I76" i="2" s="1"/>
  <c r="J77" i="2"/>
  <c r="K77" i="2" s="1"/>
  <c r="M77" i="2" s="1"/>
  <c r="C77" i="2"/>
  <c r="O77" i="2" s="1"/>
  <c r="O80" i="2"/>
  <c r="H80" i="2"/>
  <c r="I80" i="2" s="1"/>
  <c r="J81" i="2"/>
  <c r="K81" i="2" s="1"/>
  <c r="M81" i="2" s="1"/>
  <c r="C81" i="2"/>
  <c r="K83" i="2"/>
  <c r="M83" i="2" s="1"/>
  <c r="O84" i="2"/>
  <c r="H84" i="2"/>
  <c r="I84" i="2" s="1"/>
  <c r="J85" i="2"/>
  <c r="K85" i="2" s="1"/>
  <c r="M85" i="2" s="1"/>
  <c r="C85" i="2"/>
  <c r="O85" i="2" s="1"/>
  <c r="O88" i="2"/>
  <c r="H88" i="2"/>
  <c r="I88" i="2" s="1"/>
  <c r="J89" i="2"/>
  <c r="K89" i="2" s="1"/>
  <c r="M89" i="2" s="1"/>
  <c r="C89" i="2"/>
  <c r="O91" i="2"/>
  <c r="H91" i="2"/>
  <c r="I91" i="2" s="1"/>
  <c r="K91" i="2"/>
  <c r="M91" i="2" s="1"/>
  <c r="K92" i="2"/>
  <c r="M92" i="2" s="1"/>
  <c r="H92" i="2"/>
  <c r="I92" i="2" s="1"/>
  <c r="K96" i="2"/>
  <c r="M96" i="2" s="1"/>
  <c r="H96" i="2"/>
  <c r="I96" i="2" s="1"/>
  <c r="O99" i="2"/>
  <c r="O107" i="2"/>
  <c r="O115" i="2"/>
  <c r="O123" i="2"/>
  <c r="O131" i="2"/>
  <c r="O139" i="2"/>
  <c r="O147" i="2"/>
  <c r="K93" i="2"/>
  <c r="M93" i="2" s="1"/>
  <c r="K95" i="2"/>
  <c r="M95" i="2" s="1"/>
  <c r="J97" i="2"/>
  <c r="K97" i="2" s="1"/>
  <c r="M97" i="2" s="1"/>
  <c r="C97" i="2"/>
  <c r="O97" i="2" s="1"/>
  <c r="J101" i="2"/>
  <c r="C101" i="2"/>
  <c r="O101" i="2" s="1"/>
  <c r="J105" i="2"/>
  <c r="K105" i="2" s="1"/>
  <c r="M105" i="2" s="1"/>
  <c r="C105" i="2"/>
  <c r="O105" i="2" s="1"/>
  <c r="J109" i="2"/>
  <c r="C109" i="2"/>
  <c r="O109" i="2" s="1"/>
  <c r="J113" i="2"/>
  <c r="K113" i="2" s="1"/>
  <c r="M113" i="2" s="1"/>
  <c r="C113" i="2"/>
  <c r="O113" i="2" s="1"/>
  <c r="J117" i="2"/>
  <c r="C117" i="2"/>
  <c r="O117" i="2" s="1"/>
  <c r="J121" i="2"/>
  <c r="K121" i="2" s="1"/>
  <c r="M121" i="2" s="1"/>
  <c r="C121" i="2"/>
  <c r="O121" i="2" s="1"/>
  <c r="J125" i="2"/>
  <c r="C125" i="2"/>
  <c r="O125" i="2" s="1"/>
  <c r="J129" i="2"/>
  <c r="K129" i="2" s="1"/>
  <c r="M129" i="2" s="1"/>
  <c r="C129" i="2"/>
  <c r="O129" i="2" s="1"/>
  <c r="J133" i="2"/>
  <c r="C133" i="2"/>
  <c r="O133" i="2" s="1"/>
  <c r="J137" i="2"/>
  <c r="K137" i="2" s="1"/>
  <c r="M137" i="2" s="1"/>
  <c r="C137" i="2"/>
  <c r="O137" i="2" s="1"/>
  <c r="J141" i="2"/>
  <c r="C141" i="2"/>
  <c r="O141" i="2" s="1"/>
  <c r="J145" i="2"/>
  <c r="K145" i="2" s="1"/>
  <c r="M145" i="2" s="1"/>
  <c r="C145" i="2"/>
  <c r="O145" i="2" s="1"/>
  <c r="J149" i="2"/>
  <c r="C149" i="2"/>
  <c r="O149" i="2" s="1"/>
  <c r="J153" i="2"/>
  <c r="K153" i="2" s="1"/>
  <c r="M153" i="2" s="1"/>
  <c r="C153" i="2"/>
  <c r="O153" i="2" s="1"/>
  <c r="J157" i="2"/>
  <c r="C157" i="2"/>
  <c r="O157" i="2" s="1"/>
  <c r="J161" i="2"/>
  <c r="C161" i="2"/>
  <c r="O161" i="2" s="1"/>
  <c r="J165" i="2"/>
  <c r="C165" i="2"/>
  <c r="O165" i="2" s="1"/>
  <c r="J169" i="2"/>
  <c r="C169" i="2"/>
  <c r="O169" i="2" s="1"/>
  <c r="J173" i="2"/>
  <c r="C173" i="2"/>
  <c r="O173" i="2" s="1"/>
  <c r="J177" i="2"/>
  <c r="C177" i="2"/>
  <c r="O177" i="2" s="1"/>
  <c r="J181" i="2"/>
  <c r="C181" i="2"/>
  <c r="O181" i="2" s="1"/>
  <c r="J188" i="2"/>
  <c r="C188" i="2"/>
  <c r="O188" i="2" s="1"/>
  <c r="J192" i="2"/>
  <c r="K192" i="2" s="1"/>
  <c r="M192" i="2" s="1"/>
  <c r="C192" i="2"/>
  <c r="O192" i="2" s="1"/>
  <c r="J196" i="2"/>
  <c r="C196" i="2"/>
  <c r="O196" i="2" s="1"/>
  <c r="J200" i="2"/>
  <c r="K200" i="2" s="1"/>
  <c r="M200" i="2" s="1"/>
  <c r="C200" i="2"/>
  <c r="O200" i="2" s="1"/>
  <c r="C93" i="2"/>
  <c r="O93" i="2" s="1"/>
  <c r="C95" i="2"/>
  <c r="O95" i="2" s="1"/>
  <c r="O96" i="2"/>
  <c r="O98" i="2"/>
  <c r="H98" i="2"/>
  <c r="I98" i="2" s="1"/>
  <c r="J99" i="2"/>
  <c r="K99" i="2" s="1"/>
  <c r="M99" i="2" s="1"/>
  <c r="C99" i="2"/>
  <c r="K101" i="2"/>
  <c r="M101" i="2" s="1"/>
  <c r="O102" i="2"/>
  <c r="H102" i="2"/>
  <c r="I102" i="2" s="1"/>
  <c r="J103" i="2"/>
  <c r="K103" i="2" s="1"/>
  <c r="M103" i="2" s="1"/>
  <c r="C103" i="2"/>
  <c r="O103" i="2" s="1"/>
  <c r="O106" i="2"/>
  <c r="H106" i="2"/>
  <c r="I106" i="2" s="1"/>
  <c r="J107" i="2"/>
  <c r="K107" i="2" s="1"/>
  <c r="M107" i="2" s="1"/>
  <c r="C107" i="2"/>
  <c r="K109" i="2"/>
  <c r="M109" i="2" s="1"/>
  <c r="O110" i="2"/>
  <c r="H110" i="2"/>
  <c r="I110" i="2" s="1"/>
  <c r="J111" i="2"/>
  <c r="K111" i="2" s="1"/>
  <c r="M111" i="2" s="1"/>
  <c r="C111" i="2"/>
  <c r="O111" i="2" s="1"/>
  <c r="O114" i="2"/>
  <c r="H114" i="2"/>
  <c r="I114" i="2" s="1"/>
  <c r="J115" i="2"/>
  <c r="K115" i="2" s="1"/>
  <c r="M115" i="2" s="1"/>
  <c r="C115" i="2"/>
  <c r="K117" i="2"/>
  <c r="M117" i="2" s="1"/>
  <c r="O118" i="2"/>
  <c r="H118" i="2"/>
  <c r="I118" i="2" s="1"/>
  <c r="J119" i="2"/>
  <c r="K119" i="2" s="1"/>
  <c r="M119" i="2" s="1"/>
  <c r="C119" i="2"/>
  <c r="O119" i="2" s="1"/>
  <c r="O122" i="2"/>
  <c r="H122" i="2"/>
  <c r="I122" i="2" s="1"/>
  <c r="J123" i="2"/>
  <c r="K123" i="2" s="1"/>
  <c r="M123" i="2" s="1"/>
  <c r="C123" i="2"/>
  <c r="K125" i="2"/>
  <c r="M125" i="2" s="1"/>
  <c r="O126" i="2"/>
  <c r="H126" i="2"/>
  <c r="I126" i="2" s="1"/>
  <c r="J127" i="2"/>
  <c r="K127" i="2" s="1"/>
  <c r="M127" i="2" s="1"/>
  <c r="C127" i="2"/>
  <c r="O127" i="2" s="1"/>
  <c r="O130" i="2"/>
  <c r="H130" i="2"/>
  <c r="I130" i="2" s="1"/>
  <c r="J131" i="2"/>
  <c r="K131" i="2" s="1"/>
  <c r="M131" i="2" s="1"/>
  <c r="C131" i="2"/>
  <c r="K133" i="2"/>
  <c r="M133" i="2" s="1"/>
  <c r="O134" i="2"/>
  <c r="H134" i="2"/>
  <c r="I134" i="2" s="1"/>
  <c r="J135" i="2"/>
  <c r="K135" i="2" s="1"/>
  <c r="M135" i="2" s="1"/>
  <c r="C135" i="2"/>
  <c r="O135" i="2" s="1"/>
  <c r="O138" i="2"/>
  <c r="H138" i="2"/>
  <c r="I138" i="2" s="1"/>
  <c r="J139" i="2"/>
  <c r="K139" i="2" s="1"/>
  <c r="M139" i="2" s="1"/>
  <c r="C139" i="2"/>
  <c r="K141" i="2"/>
  <c r="M141" i="2" s="1"/>
  <c r="O142" i="2"/>
  <c r="H142" i="2"/>
  <c r="I142" i="2" s="1"/>
  <c r="J143" i="2"/>
  <c r="K143" i="2" s="1"/>
  <c r="M143" i="2" s="1"/>
  <c r="C143" i="2"/>
  <c r="O143" i="2" s="1"/>
  <c r="O146" i="2"/>
  <c r="H146" i="2"/>
  <c r="I146" i="2" s="1"/>
  <c r="J147" i="2"/>
  <c r="K147" i="2" s="1"/>
  <c r="M147" i="2" s="1"/>
  <c r="C147" i="2"/>
  <c r="K149" i="2"/>
  <c r="M149" i="2" s="1"/>
  <c r="O150" i="2"/>
  <c r="H150" i="2"/>
  <c r="I150" i="2" s="1"/>
  <c r="J151" i="2"/>
  <c r="K151" i="2" s="1"/>
  <c r="M151" i="2" s="1"/>
  <c r="C151" i="2"/>
  <c r="O151" i="2" s="1"/>
  <c r="H154" i="2"/>
  <c r="I154" i="2" s="1"/>
  <c r="K157" i="2"/>
  <c r="M157" i="2" s="1"/>
  <c r="K158" i="2"/>
  <c r="M158" i="2" s="1"/>
  <c r="H158" i="2"/>
  <c r="I158" i="2" s="1"/>
  <c r="K161" i="2"/>
  <c r="M161" i="2" s="1"/>
  <c r="K162" i="2"/>
  <c r="M162" i="2" s="1"/>
  <c r="H162" i="2"/>
  <c r="I162" i="2" s="1"/>
  <c r="K165" i="2"/>
  <c r="M165" i="2" s="1"/>
  <c r="K166" i="2"/>
  <c r="M166" i="2" s="1"/>
  <c r="H166" i="2"/>
  <c r="I166" i="2" s="1"/>
  <c r="K169" i="2"/>
  <c r="M169" i="2" s="1"/>
  <c r="K170" i="2"/>
  <c r="M170" i="2" s="1"/>
  <c r="H170" i="2"/>
  <c r="I170" i="2" s="1"/>
  <c r="K173" i="2"/>
  <c r="M173" i="2" s="1"/>
  <c r="K174" i="2"/>
  <c r="M174" i="2" s="1"/>
  <c r="H174" i="2"/>
  <c r="I174" i="2" s="1"/>
  <c r="K177" i="2"/>
  <c r="M177" i="2" s="1"/>
  <c r="K178" i="2"/>
  <c r="M178" i="2" s="1"/>
  <c r="H178" i="2"/>
  <c r="I178" i="2" s="1"/>
  <c r="K181" i="2"/>
  <c r="M181" i="2" s="1"/>
  <c r="K182" i="2"/>
  <c r="M182" i="2" s="1"/>
  <c r="H182" i="2"/>
  <c r="I182" i="2" s="1"/>
  <c r="O154" i="2"/>
  <c r="J155" i="2"/>
  <c r="K155" i="2" s="1"/>
  <c r="M155" i="2" s="1"/>
  <c r="C155" i="2"/>
  <c r="O155" i="2" s="1"/>
  <c r="O158" i="2"/>
  <c r="J159" i="2"/>
  <c r="K159" i="2" s="1"/>
  <c r="M159" i="2" s="1"/>
  <c r="C159" i="2"/>
  <c r="O159" i="2" s="1"/>
  <c r="O162" i="2"/>
  <c r="J163" i="2"/>
  <c r="K163" i="2" s="1"/>
  <c r="M163" i="2" s="1"/>
  <c r="C163" i="2"/>
  <c r="O163" i="2" s="1"/>
  <c r="O166" i="2"/>
  <c r="J167" i="2"/>
  <c r="K167" i="2" s="1"/>
  <c r="M167" i="2" s="1"/>
  <c r="C167" i="2"/>
  <c r="O167" i="2" s="1"/>
  <c r="O170" i="2"/>
  <c r="J171" i="2"/>
  <c r="K171" i="2" s="1"/>
  <c r="M171" i="2" s="1"/>
  <c r="C171" i="2"/>
  <c r="O171" i="2" s="1"/>
  <c r="O174" i="2"/>
  <c r="J175" i="2"/>
  <c r="K175" i="2" s="1"/>
  <c r="C175" i="2"/>
  <c r="O175" i="2" s="1"/>
  <c r="O178" i="2"/>
  <c r="J179" i="2"/>
  <c r="K179" i="2" s="1"/>
  <c r="M179" i="2" s="1"/>
  <c r="C179" i="2"/>
  <c r="O179" i="2" s="1"/>
  <c r="O182" i="2"/>
  <c r="J183" i="2"/>
  <c r="K183" i="2" s="1"/>
  <c r="M183" i="2" s="1"/>
  <c r="C183" i="2"/>
  <c r="O183" i="2" s="1"/>
  <c r="K185" i="2"/>
  <c r="M185" i="2" s="1"/>
  <c r="K188" i="2"/>
  <c r="M188" i="2" s="1"/>
  <c r="K189" i="2"/>
  <c r="M189" i="2" s="1"/>
  <c r="O190" i="2"/>
  <c r="K193" i="2"/>
  <c r="M193" i="2" s="1"/>
  <c r="K196" i="2"/>
  <c r="M196" i="2" s="1"/>
  <c r="K197" i="2"/>
  <c r="M197" i="2" s="1"/>
  <c r="O198" i="2"/>
  <c r="K201" i="2"/>
  <c r="M201" i="2" s="1"/>
  <c r="H202" i="2"/>
  <c r="I202" i="2" s="1"/>
  <c r="H200" i="2"/>
  <c r="I200" i="2" s="1"/>
  <c r="H198" i="2"/>
  <c r="I198" i="2" s="1"/>
  <c r="H196" i="2"/>
  <c r="I196" i="2" s="1"/>
  <c r="H194" i="2"/>
  <c r="I194" i="2" s="1"/>
  <c r="H192" i="2"/>
  <c r="I192" i="2" s="1"/>
  <c r="H190" i="2"/>
  <c r="I190" i="2" s="1"/>
  <c r="H188" i="2"/>
  <c r="I188" i="2" s="1"/>
  <c r="H186" i="2"/>
  <c r="I186" i="2" s="1"/>
  <c r="H184" i="2"/>
  <c r="I184" i="2" s="1"/>
  <c r="H201" i="2"/>
  <c r="I201" i="2" s="1"/>
  <c r="H197" i="2"/>
  <c r="I197" i="2" s="1"/>
  <c r="H193" i="2"/>
  <c r="I193" i="2" s="1"/>
  <c r="H189" i="2"/>
  <c r="I189" i="2" s="1"/>
  <c r="H185" i="2"/>
  <c r="I185" i="2" s="1"/>
  <c r="H183" i="2"/>
  <c r="I183" i="2" s="1"/>
  <c r="H181" i="2"/>
  <c r="I181" i="2" s="1"/>
  <c r="H179" i="2"/>
  <c r="I179" i="2" s="1"/>
  <c r="H177" i="2"/>
  <c r="I177" i="2" s="1"/>
  <c r="H175" i="2"/>
  <c r="I175" i="2" s="1"/>
  <c r="H173" i="2"/>
  <c r="I173" i="2" s="1"/>
  <c r="H171" i="2"/>
  <c r="I171" i="2" s="1"/>
  <c r="H169" i="2"/>
  <c r="I169" i="2" s="1"/>
  <c r="H167" i="2"/>
  <c r="I167" i="2" s="1"/>
  <c r="H165" i="2"/>
  <c r="I165" i="2" s="1"/>
  <c r="H163" i="2"/>
  <c r="I163" i="2" s="1"/>
  <c r="H161" i="2"/>
  <c r="I161" i="2" s="1"/>
  <c r="H159" i="2"/>
  <c r="I159" i="2" s="1"/>
  <c r="H157" i="2"/>
  <c r="I157" i="2" s="1"/>
  <c r="H155" i="2"/>
  <c r="I155" i="2" s="1"/>
  <c r="O185" i="2"/>
  <c r="J186" i="2"/>
  <c r="K186" i="2" s="1"/>
  <c r="M186" i="2" s="1"/>
  <c r="C186" i="2"/>
  <c r="O186" i="2" s="1"/>
  <c r="O189" i="2"/>
  <c r="J190" i="2"/>
  <c r="K190" i="2" s="1"/>
  <c r="M190" i="2" s="1"/>
  <c r="C190" i="2"/>
  <c r="O193" i="2"/>
  <c r="J194" i="2"/>
  <c r="K194" i="2" s="1"/>
  <c r="M194" i="2" s="1"/>
  <c r="C194" i="2"/>
  <c r="O194" i="2" s="1"/>
  <c r="O197" i="2"/>
  <c r="J198" i="2"/>
  <c r="K198" i="2" s="1"/>
  <c r="M198" i="2" s="1"/>
  <c r="C198" i="2"/>
  <c r="O201" i="2"/>
  <c r="J202" i="2"/>
  <c r="K202" i="2" s="1"/>
  <c r="C202" i="2"/>
  <c r="O202" i="2" s="1"/>
  <c r="K176" i="2" l="1"/>
  <c r="M176" i="2" s="1"/>
  <c r="M175" i="2"/>
  <c r="K203" i="2"/>
  <c r="L202" i="2"/>
  <c r="L200" i="2"/>
  <c r="L198" i="2"/>
  <c r="L196" i="2"/>
  <c r="L194" i="2"/>
  <c r="L192" i="2"/>
  <c r="L190" i="2"/>
  <c r="L188" i="2"/>
  <c r="L186" i="2"/>
  <c r="L184" i="2"/>
  <c r="M202" i="2"/>
  <c r="L201" i="2"/>
  <c r="L197" i="2"/>
  <c r="L193" i="2"/>
  <c r="L189" i="2"/>
  <c r="L185" i="2"/>
  <c r="L183" i="2"/>
  <c r="L181" i="2"/>
  <c r="L179" i="2"/>
  <c r="L177" i="2"/>
  <c r="L175" i="2"/>
  <c r="L173" i="2"/>
  <c r="L171" i="2"/>
  <c r="L169" i="2"/>
  <c r="L167" i="2"/>
  <c r="L165" i="2"/>
  <c r="L163" i="2"/>
  <c r="L161" i="2"/>
  <c r="L159" i="2"/>
  <c r="L157" i="2"/>
  <c r="L155" i="2"/>
  <c r="L182" i="2"/>
  <c r="L178" i="2"/>
  <c r="L174" i="2"/>
  <c r="L170" i="2"/>
  <c r="L166" i="2"/>
  <c r="L162" i="2"/>
  <c r="L158" i="2"/>
  <c r="L154" i="2"/>
  <c r="L153" i="2"/>
  <c r="L151" i="2"/>
  <c r="L149" i="2"/>
  <c r="L147" i="2"/>
  <c r="L145" i="2"/>
  <c r="L143" i="2"/>
  <c r="L141" i="2"/>
  <c r="L139" i="2"/>
  <c r="L137" i="2"/>
  <c r="L135" i="2"/>
  <c r="L133" i="2"/>
  <c r="L131" i="2"/>
  <c r="L129" i="2"/>
  <c r="L127" i="2"/>
  <c r="L125" i="2"/>
  <c r="L123" i="2"/>
  <c r="L121" i="2"/>
  <c r="L119" i="2"/>
  <c r="L117" i="2"/>
  <c r="L115" i="2"/>
  <c r="L113" i="2"/>
  <c r="L111" i="2"/>
  <c r="L109" i="2"/>
  <c r="L107" i="2"/>
  <c r="L105" i="2"/>
  <c r="L103" i="2"/>
  <c r="L101" i="2"/>
  <c r="L99" i="2"/>
  <c r="L97" i="2"/>
  <c r="L150" i="2"/>
  <c r="L146" i="2"/>
  <c r="L142" i="2"/>
  <c r="L138" i="2"/>
  <c r="L134" i="2"/>
  <c r="L130" i="2"/>
  <c r="L126" i="2"/>
  <c r="L122" i="2"/>
  <c r="L118" i="2"/>
  <c r="L114" i="2"/>
  <c r="L110" i="2"/>
  <c r="L106" i="2"/>
  <c r="L102" i="2"/>
  <c r="L98" i="2"/>
  <c r="L95" i="2"/>
  <c r="L93" i="2"/>
  <c r="L91" i="2"/>
  <c r="L89" i="2"/>
  <c r="L87" i="2"/>
  <c r="L85" i="2"/>
  <c r="L83" i="2"/>
  <c r="L81" i="2"/>
  <c r="L79" i="2"/>
  <c r="L77" i="2"/>
  <c r="L75" i="2"/>
  <c r="L73" i="2"/>
  <c r="L71" i="2"/>
  <c r="L69" i="2"/>
  <c r="L67" i="2"/>
  <c r="L65" i="2"/>
  <c r="L63" i="2"/>
  <c r="L61" i="2"/>
  <c r="L59" i="2"/>
  <c r="L57" i="2"/>
  <c r="L55" i="2"/>
  <c r="L53" i="2"/>
  <c r="L51" i="2"/>
  <c r="L49" i="2"/>
  <c r="L47" i="2"/>
  <c r="L45" i="2"/>
  <c r="L43" i="2"/>
  <c r="L41" i="2"/>
  <c r="L39" i="2"/>
  <c r="L37" i="2"/>
  <c r="L35" i="2"/>
  <c r="L33" i="2"/>
  <c r="L31" i="2"/>
  <c r="L29" i="2"/>
  <c r="L27" i="2"/>
  <c r="L25" i="2"/>
  <c r="L23" i="2"/>
  <c r="L21" i="2"/>
  <c r="L19" i="2"/>
  <c r="L17" i="2"/>
  <c r="L15" i="2"/>
  <c r="L13" i="2"/>
  <c r="L11" i="2"/>
  <c r="L9" i="2"/>
  <c r="L7" i="2"/>
  <c r="L5" i="2"/>
  <c r="L3" i="2"/>
  <c r="L199" i="2"/>
  <c r="L195" i="2"/>
  <c r="L191" i="2"/>
  <c r="L187" i="2"/>
  <c r="L180" i="2"/>
  <c r="L176" i="2"/>
  <c r="L172" i="2"/>
  <c r="L168" i="2"/>
  <c r="L164" i="2"/>
  <c r="L160" i="2"/>
  <c r="L156" i="2"/>
  <c r="L152" i="2"/>
  <c r="L148" i="2"/>
  <c r="L144" i="2"/>
  <c r="L140" i="2"/>
  <c r="L136" i="2"/>
  <c r="L132" i="2"/>
  <c r="L128" i="2"/>
  <c r="L124" i="2"/>
  <c r="L120" i="2"/>
  <c r="L116" i="2"/>
  <c r="L112" i="2"/>
  <c r="L108" i="2"/>
  <c r="L104" i="2"/>
  <c r="L100" i="2"/>
  <c r="L96" i="2"/>
  <c r="L94" i="2"/>
  <c r="L92" i="2"/>
  <c r="L88" i="2"/>
  <c r="L84" i="2"/>
  <c r="L80" i="2"/>
  <c r="L76" i="2"/>
  <c r="L72" i="2"/>
  <c r="L68" i="2"/>
  <c r="L64" i="2"/>
  <c r="L60" i="2"/>
  <c r="L56" i="2"/>
  <c r="L52" i="2"/>
  <c r="L48" i="2"/>
  <c r="L44" i="2"/>
  <c r="L40" i="2"/>
  <c r="L36" i="2"/>
  <c r="L32" i="2"/>
  <c r="L28" i="2"/>
  <c r="L24" i="2"/>
  <c r="L20" i="2"/>
  <c r="L16" i="2"/>
  <c r="L12" i="2"/>
  <c r="L8" i="2"/>
  <c r="L4" i="2"/>
  <c r="L90" i="2"/>
  <c r="L86" i="2"/>
  <c r="L82" i="2"/>
  <c r="L78" i="2"/>
  <c r="L74" i="2"/>
  <c r="L70" i="2"/>
  <c r="L66" i="2"/>
  <c r="L62" i="2"/>
  <c r="L58" i="2"/>
  <c r="L54" i="2"/>
  <c r="L50" i="2"/>
  <c r="L46" i="2"/>
  <c r="L42" i="2"/>
  <c r="L38" i="2"/>
  <c r="L34" i="2"/>
  <c r="L30" i="2"/>
  <c r="L26" i="2"/>
  <c r="L22" i="2"/>
  <c r="L18" i="2"/>
  <c r="L14" i="2"/>
  <c r="L10" i="2"/>
  <c r="L6" i="2"/>
  <c r="L2" i="2"/>
  <c r="M66" i="2"/>
</calcChain>
</file>

<file path=xl/sharedStrings.xml><?xml version="1.0" encoding="utf-8"?>
<sst xmlns="http://schemas.openxmlformats.org/spreadsheetml/2006/main" count="215" uniqueCount="215">
  <si>
    <t>loan_id</t>
  </si>
  <si>
    <t>loan_amount</t>
  </si>
  <si>
    <t>total_due</t>
  </si>
  <si>
    <t>total_paid</t>
  </si>
  <si>
    <t>behavioral_risk</t>
  </si>
  <si>
    <t>structural_risk</t>
  </si>
  <si>
    <t>total_risk</t>
  </si>
  <si>
    <t>total_risk_pct</t>
  </si>
  <si>
    <t>dangerous_minority</t>
  </si>
  <si>
    <t>stress_multiplier</t>
  </si>
  <si>
    <t>stressed_total_risk</t>
  </si>
  <si>
    <t>stressed_total_risk_pct</t>
  </si>
  <si>
    <t>stress_delta</t>
  </si>
  <si>
    <t>loan_size_band</t>
  </si>
  <si>
    <t>payment_ratio</t>
  </si>
  <si>
    <t>L181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</si>
  <si>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</si>
  <si>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</si>
  <si>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</si>
  <si>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</si>
  <si>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</si>
  <si>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</si>
  <si>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</si>
  <si>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</si>
  <si>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</si>
  <si>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</si>
  <si>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</si>
  <si>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</si>
  <si>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</si>
  <si>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L197</t>
  </si>
  <si>
    <t>L198</t>
  </si>
  <si>
    <t>L199</t>
  </si>
  <si>
    <t>L200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</si>
  <si>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</si>
  <si>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</si>
  <si>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</si>
  <si>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</si>
  <si>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</si>
  <si>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</si>
  <si>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</si>
  <si>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</si>
  <si>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</si>
  <si>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</si>
  <si>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</si>
  <si>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</si>
  <si>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</si>
  <si>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</si>
  <si>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</si>
  <si>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</si>
  <si>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</si>
  <si>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</si>
  <si>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</si>
  <si>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</si>
  <si>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</si>
  <si>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</si>
  <si>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</si>
  <si>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</si>
  <si>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</si>
  <si>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</si>
  <si>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</si>
  <si>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L160</t>
  </si>
  <si>
    <t>L162</t>
  </si>
  <si>
    <t>L163</t>
  </si>
  <si>
    <t>L164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</si>
  <si>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</si>
  <si>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</si>
  <si>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</si>
  <si>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</si>
  <si>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</si>
  <si>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</si>
  <si>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</si>
  <si>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</si>
  <si>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</si>
  <si>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</si>
  <si>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</si>
  <si>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</si>
  <si>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</si>
  <si>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</si>
  <si>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</si>
  <si>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L196</t>
  </si>
  <si>
    <t>L002</t>
  </si>
  <si>
    <t>L003</t>
  </si>
  <si>
    <t>L005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</si>
  <si>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</si>
  <si>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</si>
  <si>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</si>
  <si>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</si>
  <si>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</si>
  <si>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</si>
  <si>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</si>
  <si>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</si>
  <si>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</si>
  <si>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</si>
  <si>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</si>
  <si>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</si>
  <si>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</si>
  <si>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</si>
  <si>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L022</t>
  </si>
  <si>
    <t>L023</t>
  </si>
  <si>
    <t>L024</t>
  </si>
  <si>
    <t>L026</t>
  </si>
  <si>
    <t>L027</t>
  </si>
  <si>
    <t>L028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</si>
  <si>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</si>
  <si>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</si>
  <si>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</si>
  <si>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</si>
  <si>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</si>
  <si>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</si>
  <si>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</si>
  <si>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</si>
  <si>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</si>
  <si>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</si>
  <si>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</si>
  <si>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</si>
  <si>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</si>
  <si>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</si>
  <si>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</si>
  <si>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</si>
  <si>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</si>
  <si>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</si>
  <si>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</si>
  <si>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L051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</si>
  <si>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</si>
  <si>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</si>
  <si>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</si>
  <si>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</si>
  <si>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</si>
  <si>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</si>
  <si>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</si>
  <si>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</si>
  <si>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</si>
  <si>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</si>
  <si>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</si>
  <si>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L066</t>
  </si>
  <si>
    <t>L067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</si>
  <si>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</si>
  <si>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</si>
  <si>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</si>
  <si>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</si>
  <si>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</si>
  <si>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</si>
  <si>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</si>
  <si>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</si>
  <si>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</si>
  <si>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</si>
  <si>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</si>
  <si>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</si>
  <si>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</si>
  <si>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</si>
  <si>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</si>
  <si>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</si>
  <si>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</si>
  <si>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L085</t>
  </si>
  <si>
    <t>L086</t>
  </si>
  <si>
    <t>L088</t>
  </si>
  <si>
    <t>L089</t>
  </si>
  <si>
    <t>L090</t>
  </si>
  <si>
    <t>L091</t>
  </si>
  <si>
    <t>L097</t>
  </si>
  <si>
    <t>L098</t>
  </si>
  <si>
    <t>L099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</si>
  <si>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</si>
  <si>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</si>
  <si>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</si>
  <si>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</si>
  <si>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</si>
  <si>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</si>
  <si>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</si>
  <si>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</si>
  <si>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</si>
  <si>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</si>
  <si>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</si>
  <si>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</si>
  <si>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</si>
  <si>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</si>
  <si>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</si>
  <si>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</si>
  <si>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</si>
  <si>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L118</t>
  </si>
  <si>
    <t>L119</t>
  </si>
  <si>
    <t>L120</t>
  </si>
  <si>
    <t>L121</t>
  </si>
  <si>
    <t>L125</t>
  </si>
  <si>
    <t>L126</t>
  </si>
  <si>
    <t>L127</t>
  </si>
  <si>
    <t>L128</t>
  </si>
  <si>
    <t>L129</t>
  </si>
  <si>
    <t>L130</t>
  </si>
  <si>
    <t>L001</t>
  </si>
  <si>
    <t>L004</t>
  </si>
  <si>
    <t>L006</t>
  </si>
  <si>
    <t>L021</t>
  </si>
  <si>
    <t>L025</t>
  </si>
  <si>
    <t>L029</t>
  </si>
  <si>
    <t>L040</t>
  </si>
  <si>
    <t>L050</t>
  </si>
  <si>
    <t>L052</t>
  </si>
  <si>
    <t>L053</t>
  </si>
  <si>
    <t>L065</t>
  </si>
  <si>
    <t>L087</t>
  </si>
  <si>
    <t>L092</t>
  </si>
  <si>
    <t>L093</t>
  </si>
  <si>
    <t>L094</t>
  </si>
  <si>
    <t>L095</t>
  </si>
  <si>
    <t>L096</t>
  </si>
  <si>
    <t>L117</t>
  </si>
  <si>
    <t>L122</t>
  </si>
  <si>
    <t>L123</t>
  </si>
  <si>
    <t>L124</t>
  </si>
  <si>
    <t>L158</t>
  </si>
  <si>
    <t>L159</t>
  </si>
  <si>
    <t>L161</t>
  </si>
  <si>
    <t>L165</t>
  </si>
  <si>
    <t>L182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</si>
</sst>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10" fontId="1" fillId="0" borderId="0" xfId="0" applyNumberFormat="1" applyFon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7"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PRIME.SHOP\Documents\Sacco_Credit_Analysis_Month2.xlsx" TargetMode="External"/><Relationship Id="rId1" Type="http://schemas.openxmlformats.org/officeDocument/2006/relationships/externalLinkPath" Target="/Users/DEPRIME.SHOP/Documents/Sacco_Credit_Analysis_Month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mbers"/>
      <sheetName val="Loans"/>
      <sheetName val="Repayment"/>
      <sheetName val="Risk_Summary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B0288-CD11-4985-9216-4EFF34E57D44}" name="Table6" displayName="Table6" ref="A1:O203" totalsRowCount="1" headerRowDxfId="26">
  <autoFilter ref="A1:O202" xr:uid="{4632D68E-B6A2-4064-B029-8C7816969681}"/>
  <sortState xmlns:xlrd2="http://schemas.microsoft.com/office/spreadsheetml/2017/richdata2" ref="A2:N202">
    <sortCondition descending="1" ref="M1:M202"/>
  </sortState>
  <tableColumns count="15">
    <tableColumn id="1" xr3:uid="{D660EF8A-7E99-49E1-859F-60BC86A20902}" name="loan_id"/>
    <tableColumn id="2" xr3:uid="{6A17AC55-B2A2-49DE-A232-786067BE8B12}" name="loan_amount" dataDxfId="24" totalsRowDxfId="25">
      <calculatedColumnFormula>_xlfn.XLOOKUP(Table6[[#This Row],[loan_id]],[1]!Loans[loan_id],[1]!Loans[loan_amount])</calculatedColumnFormula>
    </tableColumn>
    <tableColumn id="3" xr3:uid="{8ACE789B-6D05-4AFA-8A29-6BE1A68424A3}" name="total_due" dataDxfId="22" totalsRowDxfId="23">
      <calculatedColumnFormula>(Table6[[#This Row],[loan_amount]]*(1+0.02/6))</calculatedColumnFormula>
    </tableColumn>
    <tableColumn id="4" xr3:uid="{4CA8BE6B-79B6-4EBF-A63C-3073CC8F8088}" name="total_paid" dataDxfId="20" totalsRowDxfId="21">
      <calculatedColumnFormula>_xlfn.XLOOKUP(Table6[[#This Row],[loan_id]],[1]!Repayment[loan_id],[1]!Repayment[amount_paid])</calculatedColumnFormula>
    </tableColumn>
    <tableColumn id="5" xr3:uid="{9553AF5B-7262-4F19-A45E-80BCC502E1DD}" name="behavioral_risk"/>
    <tableColumn id="6" xr3:uid="{4E65923A-30E8-4BEC-A012-021DE25D2CDC}" name="structural_risk" dataDxfId="18" totalsRowDxfId="19">
      <calculatedColumnFormula>_xlfn.XLOOKUP(Table6[[#This Row],[loan_id]],[1]!Loans[loan_id],[1]!Loans[structural_risk])</calculatedColumnFormula>
    </tableColumn>
    <tableColumn id="7" xr3:uid="{0B039AFE-E0F4-4CF1-AF03-055818A79365}" name="total_risk" dataDxfId="16" totalsRowDxfId="17">
      <calculatedColumnFormula>Table6[[#This Row],[behavioral_risk]]+Table6[[#This Row],[structural_risk]]</calculatedColumnFormula>
    </tableColumn>
    <tableColumn id="8" xr3:uid="{E0F8130D-DA33-41FB-BD29-8C2D0D9E627B}" name="total_risk_pct" dataDxfId="14" totalsRowDxfId="15">
      <calculatedColumnFormula>Table6[[#This Row],[total_risk]]/$G$202</calculatedColumnFormula>
    </tableColumn>
    <tableColumn id="9" xr3:uid="{91A882B6-1122-42CF-A271-CEF1C2330B9A}" name="dangerous_minority" dataDxfId="12" totalsRowDxfId="13">
      <calculatedColumnFormula>IF(Table6[[#This Row],[total_risk_pct]]&gt;0.8%,"YES","NO")</calculatedColumnFormula>
    </tableColumn>
    <tableColumn id="10" xr3:uid="{28245999-B322-4F9E-8C55-2EAC9422A252}" name="stress_multiplier" dataDxfId="10" totalsRowDxfId="11">
      <calculatedColumnFormula>IF(Table6[[#This Row],[loan_amount]]&gt;70000,2,1)</calculatedColumnFormula>
    </tableColumn>
    <tableColumn id="11" xr3:uid="{EBC94C18-F1A5-4651-AB1A-BBD323162722}" name="stressed_total_risk" totalsRowFunction="custom" dataDxfId="8" totalsRowDxfId="9">
      <calculatedColumnFormula>Table6[[#This Row],[total_risk]]*Table6[[#This Row],[stress_multiplier]]</calculatedColumnFormula>
      <totalsRowFormula>SUM(K2:K201)</totalsRowFormula>
    </tableColumn>
    <tableColumn id="12" xr3:uid="{B3F0C4F3-3035-421F-9978-7B6B4B3E6967}" name="stressed_total_risk_pct" dataDxfId="6" totalsRowDxfId="7">
      <calculatedColumnFormula>Table6[[#This Row],[stressed_total_risk]]/$K$202</calculatedColumnFormula>
    </tableColumn>
    <tableColumn id="13" xr3:uid="{BEDAA834-6537-465F-A360-CD62BB278BC6}" name="stress_delta" dataDxfId="4" totalsRowDxfId="5">
      <calculatedColumnFormula>Table6[[#This Row],[stressed_total_risk]]-Table6[[#This Row],[total_risk]]</calculatedColumnFormula>
    </tableColumn>
    <tableColumn id="14" xr3:uid="{3B8622D8-8D72-4320-B7FE-83B06D71C530}" name="loan_size_band" dataDxfId="2" totalsRowDxfId="3">
      <calculatedColumnFormula>_xlfn.XLOOKUP(Table6[[#This Row],[loan_id]],[1]!Loans[loan_id],[1]!Loans[loan_size_band])</calculatedColumnFormula>
    </tableColumn>
    <tableColumn id="15" xr3:uid="{993802D5-B268-4C17-9A5B-919044634F97}" name="payment_ratio" dataDxfId="0" totalsRowDxfId="1">
      <calculatedColumnFormula>Table6[[#This Row],[total_paid]]/Table6[[#This Row],[total_due]]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8CF8-5344-4086-BA4A-1F4AF989D884}">
  <dimension ref="A1:O203"/>
  <sheetViews>
    <sheetView tabSelected="1" topLeftCell="I1" workbookViewId="0">
      <selection activeCell="L7" sqref="L7"/>
    </sheetView>
  </sheetViews>
  <sheetFormatPr defaultRowHeight="15" x14ac:dyDescent="0.25"/>
  <cols>
    <col min="1" max="1" width="9.7109375" customWidth="1"/>
    <col min="2" max="2" width="14.85546875" customWidth="1"/>
    <col min="3" max="3" width="11.7109375" style="4" customWidth="1"/>
    <col min="4" max="4" width="12.140625" customWidth="1"/>
    <col min="5" max="5" width="16.7109375" customWidth="1"/>
    <col min="6" max="6" width="15.7109375" customWidth="1"/>
    <col min="7" max="7" width="11.42578125" customWidth="1"/>
    <col min="8" max="8" width="15.140625" style="5" customWidth="1"/>
    <col min="9" max="9" width="21" customWidth="1"/>
    <col min="10" max="10" width="18.7109375" customWidth="1"/>
    <col min="11" max="11" width="19.85546875" customWidth="1"/>
    <col min="12" max="12" width="23" style="5" customWidth="1"/>
    <col min="13" max="13" width="26.28515625" customWidth="1"/>
    <col min="14" max="14" width="12.42578125" customWidth="1"/>
    <col min="15" max="15" width="16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 t="s">
        <v>15</v>
      </c>
      <c r="B2">
        <f>_xlfn.XLOOKUP(Table6[[#This Row],[loan_id]],[1]!Loans[loan_id],[1]!Loans[loan_amount])</f>
        <v>170000</v>
      </c>
      <c r="C2" s="4">
        <f>(Table6[[#This Row],[loan_amount]]*(1+0.02/6))</f>
        <v>170566.66666666669</v>
      </c>
      <c r="D2">
        <f>_xlfn.XLOOKUP(Table6[[#This Row],[loan_id]],[1]!Repayment[loan_id],[1]!Repayment[amount_paid])</f>
        <v>28900</v>
      </c>
      <c r="E2">
        <v>1</v>
      </c>
      <c r="F2">
        <f>_xlfn.XLOOKUP(Table6[[#This Row],[loan_id]],[1]!Loans[loan_id],[1]!Loans[structural_risk])</f>
        <v>0.8</v>
      </c>
      <c r="G2">
        <f>Table6[[#This Row],[behavioral_risk]]+Table6[[#This Row],[structural_risk]]</f>
        <v>1.8</v>
      </c>
      <c r="H2" s="5">
        <f>Table6[[#This Row],[total_risk]]/$G$202</f>
        <v>1.2</v>
      </c>
      <c r="I2" t="str">
        <f>IF(Table6[[#This Row],[total_risk_pct]]&gt;0.8%,"YES","NO")</f>
        <v>YES</v>
      </c>
      <c r="J2">
        <f>IF(Table6[[#This Row],[loan_amount]]&gt;70000,2,1)</f>
        <v>2</v>
      </c>
      <c r="K2">
        <f>Table6[[#This Row],[total_risk]]*Table6[[#This Row],[stress_multiplier]]</f>
        <v>3.6</v>
      </c>
      <c r="L2" s="5">
        <f>Table6[[#This Row],[stressed_total_risk]]/$K$202</f>
        <v>2.4</v>
      </c>
      <c r="M2">
        <f>Table6[[#This Row],[stressed_total_risk]]-Table6[[#This Row],[total_risk]]</f>
        <v>1.8</v>
      </c>
      <c r="N2" t="str">
        <f>_xlfn.XLOOKUP(Table6[[#This Row],[loan_id]],[1]!Loans[loan_id],[1]!Loans[loan_size_band])</f>
        <v>Large</v>
      </c>
      <c r="O2" s="4">
        <f>Table6[[#This Row],[total_paid]]/Table6[[#This Row],[total_due]]</f>
        <v>0.16943521594684383</v>
      </c>
    </row>
    <row r="3" spans="1:15" x14ac:dyDescent="0.25">
      <c r="A3" t="s">
        <v>16</v>
      </c>
      <c r="B3">
        <f>_xlfn.XLOOKUP(Table6[[#This Row],[loan_id]],[1]!Loans[loan_id],[1]!Loans[loan_amount])</f>
        <v>110000</v>
      </c>
      <c r="C3" s="4">
        <f>(Table6[[#This Row],[loan_amount]]*(1+0.02/6))</f>
        <v>110366.66666666667</v>
      </c>
      <c r="D3">
        <f>_xlfn.XLOOKUP(Table6[[#This Row],[loan_id]],[1]!Repayment[loan_id],[1]!Repayment[amount_paid])</f>
        <v>18700</v>
      </c>
      <c r="E3">
        <v>1</v>
      </c>
      <c r="F3">
        <f>_xlfn.XLOOKUP(Table6[[#This Row],[loan_id]],[1]!Loans[loan_id],[1]!Loans[structural_risk])</f>
        <v>0.8</v>
      </c>
      <c r="G3">
        <f>Table6[[#This Row],[behavioral_risk]]+Table6[[#This Row],[structural_risk]]</f>
        <v>1.8</v>
      </c>
      <c r="H3" s="5">
        <f>Table6[[#This Row],[total_risk]]/$G$202</f>
        <v>1.2</v>
      </c>
      <c r="I3" t="str">
        <f>IF(Table6[[#This Row],[total_risk_pct]]&gt;0.8%,"YES","NO")</f>
        <v>YES</v>
      </c>
      <c r="J3">
        <f>IF(Table6[[#This Row],[loan_amount]]&gt;70000,2,1)</f>
        <v>2</v>
      </c>
      <c r="K3">
        <f>Table6[[#This Row],[total_risk]]*Table6[[#This Row],[stress_multiplier]]</f>
        <v>3.6</v>
      </c>
      <c r="L3" s="5">
        <f>Table6[[#This Row],[stressed_total_risk]]/$K$202</f>
        <v>2.4</v>
      </c>
      <c r="M3">
        <f>Table6[[#This Row],[stressed_total_risk]]-Table6[[#This Row],[total_risk]]</f>
        <v>1.8</v>
      </c>
      <c r="N3" t="str">
        <f>_xlfn.XLOOKUP(Table6[[#This Row],[loan_id]],[1]!Loans[loan_id],[1]!Loans[loan_size_band])</f>
        <v>Large</v>
      </c>
      <c r="O3" s="4">
        <f>Table6[[#This Row],[total_paid]]/Table6[[#This Row],[total_due]]</f>
        <v>0.16943521594684385</v>
      </c>
    </row>
    <row r="4" spans="1:15" x14ac:dyDescent="0.25">
      <c r="A4" t="s">
        <v>17</v>
      </c>
      <c r="B4">
        <f>_xlfn.XLOOKUP(Table6[[#This Row],[loan_id]],[1]!Loans[loan_id],[1]!Loans[loan_amount])</f>
        <v>310000</v>
      </c>
      <c r="C4" s="4">
        <f>(Table6[[#This Row],[loan_amount]]*(1+0.02/6))</f>
        <v>311033.33333333337</v>
      </c>
      <c r="D4">
        <f>_xlfn.XLOOKUP(Table6[[#This Row],[loan_id]],[1]!Repayment[loan_id],[1]!Repayment[amount_paid])</f>
        <v>52700</v>
      </c>
      <c r="E4">
        <v>1</v>
      </c>
      <c r="F4">
        <f>_xlfn.XLOOKUP(Table6[[#This Row],[loan_id]],[1]!Loans[loan_id],[1]!Loans[structural_risk])</f>
        <v>0.8</v>
      </c>
      <c r="G4">
        <f>Table6[[#This Row],[behavioral_risk]]+Table6[[#This Row],[structural_risk]]</f>
        <v>1.8</v>
      </c>
      <c r="H4" s="5">
        <f>Table6[[#This Row],[total_risk]]/$G$202</f>
        <v>1.2</v>
      </c>
      <c r="I4" t="str">
        <f>IF(Table6[[#This Row],[total_risk_pct]]&gt;0.8%,"YES","NO")</f>
        <v>YES</v>
      </c>
      <c r="J4">
        <f>IF(Table6[[#This Row],[loan_amount]]&gt;70000,2,1)</f>
        <v>2</v>
      </c>
      <c r="K4">
        <f>Table6[[#This Row],[total_risk]]*Table6[[#This Row],[stress_multiplier]]</f>
        <v>3.6</v>
      </c>
      <c r="L4" s="5">
        <f>Table6[[#This Row],[stressed_total_risk]]/$K$202</f>
        <v>2.4</v>
      </c>
      <c r="M4">
        <f>Table6[[#This Row],[stressed_total_risk]]-Table6[[#This Row],[total_risk]]</f>
        <v>1.8</v>
      </c>
      <c r="N4" t="str">
        <f>_xlfn.XLOOKUP(Table6[[#This Row],[loan_id]],[1]!Loans[loan_id],[1]!Loans[loan_size_band])</f>
        <v>Large</v>
      </c>
      <c r="O4" s="4">
        <f>Table6[[#This Row],[total_paid]]/Table6[[#This Row],[total_due]]</f>
        <v>0.16943521594684383</v>
      </c>
    </row>
    <row r="5" spans="1:15" x14ac:dyDescent="0.25">
      <c r="A5" t="s">
        <v>18</v>
      </c>
      <c r="B5">
        <f>_xlfn.XLOOKUP(Table6[[#This Row],[loan_id]],[1]!Loans[loan_id],[1]!Loans[loan_amount])</f>
        <v>460000</v>
      </c>
      <c r="C5" s="4">
        <f>(Table6[[#This Row],[loan_amount]]*(1+0.02/6))</f>
        <v>461533.33333333337</v>
      </c>
      <c r="D5">
        <f>_xlfn.XLOOKUP(Table6[[#This Row],[loan_id]],[1]!Repayment[loan_id],[1]!Repayment[amount_paid])</f>
        <v>78200</v>
      </c>
      <c r="E5">
        <v>1</v>
      </c>
      <c r="F5">
        <f>_xlfn.XLOOKUP(Table6[[#This Row],[loan_id]],[1]!Loans[loan_id],[1]!Loans[structural_risk])</f>
        <v>0.8</v>
      </c>
      <c r="G5">
        <f>Table6[[#This Row],[behavioral_risk]]+Table6[[#This Row],[structural_risk]]</f>
        <v>1.8</v>
      </c>
      <c r="H5" s="5">
        <f>Table6[[#This Row],[total_risk]]/$G$202</f>
        <v>1.2</v>
      </c>
      <c r="I5" t="str">
        <f>IF(Table6[[#This Row],[total_risk_pct]]&gt;0.8%,"YES","NO")</f>
        <v>YES</v>
      </c>
      <c r="J5">
        <f>IF(Table6[[#This Row],[loan_amount]]&gt;70000,2,1)</f>
        <v>2</v>
      </c>
      <c r="K5">
        <f>Table6[[#This Row],[total_risk]]*Table6[[#This Row],[stress_multiplier]]</f>
        <v>3.6</v>
      </c>
      <c r="L5" s="5">
        <f>Table6[[#This Row],[stressed_total_risk]]/$K$202</f>
        <v>2.4</v>
      </c>
      <c r="M5">
        <f>Table6[[#This Row],[stressed_total_risk]]-Table6[[#This Row],[total_risk]]</f>
        <v>1.8</v>
      </c>
      <c r="N5" t="str">
        <f>_xlfn.XLOOKUP(Table6[[#This Row],[loan_id]],[1]!Loans[loan_id],[1]!Loans[loan_size_band])</f>
        <v>Large</v>
      </c>
      <c r="O5" s="4">
        <f>Table6[[#This Row],[total_paid]]/Table6[[#This Row],[total_due]]</f>
        <v>0.16943521594684385</v>
      </c>
    </row>
    <row r="6" spans="1:15" x14ac:dyDescent="0.25">
      <c r="A6" t="s">
        <v>19</v>
      </c>
      <c r="B6">
        <f>_xlfn.XLOOKUP(Table6[[#This Row],[loan_id]],[1]!Loans[loan_id],[1]!Loans[loan_amount])</f>
        <v>210000</v>
      </c>
      <c r="C6" s="4">
        <f>(Table6[[#This Row],[loan_amount]]*(1+0.02/6))</f>
        <v>210700.00000000003</v>
      </c>
      <c r="D6">
        <f>_xlfn.XLOOKUP(Table6[[#This Row],[loan_id]],[1]!Repayment[loan_id],[1]!Repayment[amount_paid])</f>
        <v>35700</v>
      </c>
      <c r="E6">
        <v>1</v>
      </c>
      <c r="F6">
        <f>_xlfn.XLOOKUP(Table6[[#This Row],[loan_id]],[1]!Loans[loan_id],[1]!Loans[structural_risk])</f>
        <v>0.8</v>
      </c>
      <c r="G6">
        <f>Table6[[#This Row],[behavioral_risk]]+Table6[[#This Row],[structural_risk]]</f>
        <v>1.8</v>
      </c>
      <c r="H6" s="5">
        <f>Table6[[#This Row],[total_risk]]/$G$202</f>
        <v>1.2</v>
      </c>
      <c r="I6" t="str">
        <f>IF(Table6[[#This Row],[total_risk_pct]]&gt;0.8%,"YES","NO")</f>
        <v>YES</v>
      </c>
      <c r="J6">
        <f>IF(Table6[[#This Row],[loan_amount]]&gt;70000,2,1)</f>
        <v>2</v>
      </c>
      <c r="K6">
        <f>Table6[[#This Row],[total_risk]]*Table6[[#This Row],[stress_multiplier]]</f>
        <v>3.6</v>
      </c>
      <c r="L6" s="5">
        <f>Table6[[#This Row],[stressed_total_risk]]/$K$202</f>
        <v>2.4</v>
      </c>
      <c r="M6">
        <f>Table6[[#This Row],[stressed_total_risk]]-Table6[[#This Row],[total_risk]]</f>
        <v>1.8</v>
      </c>
      <c r="N6" t="str">
        <f>_xlfn.XLOOKUP(Table6[[#This Row],[loan_id]],[1]!Loans[loan_id],[1]!Loans[loan_size_band])</f>
        <v>Large</v>
      </c>
      <c r="O6" s="4">
        <f>Table6[[#This Row],[total_paid]]/Table6[[#This Row],[total_due]]</f>
        <v>0.16943521594684383</v>
      </c>
    </row>
    <row r="7" spans="1:15" x14ac:dyDescent="0.25">
      <c r="A7" t="s">
        <v>20</v>
      </c>
      <c r="B7">
        <f>_xlfn.XLOOKUP(Table6[[#This Row],[loan_id]],[1]!Loans[loan_id],[1]!Loans[loan_amount])</f>
        <v>230000</v>
      </c>
      <c r="C7" s="4">
        <f>(Table6[[#This Row],[loan_amount]]*(1+0.02/6))</f>
        <v>230766.66666666669</v>
      </c>
      <c r="D7">
        <f>_xlfn.XLOOKUP(Table6[[#This Row],[loan_id]],[1]!Repayment[loan_id],[1]!Repayment[amount_paid])</f>
        <v>39100</v>
      </c>
      <c r="E7">
        <v>1</v>
      </c>
      <c r="F7">
        <f>_xlfn.XLOOKUP(Table6[[#This Row],[loan_id]],[1]!Loans[loan_id],[1]!Loans[structural_risk])</f>
        <v>0.8</v>
      </c>
      <c r="G7">
        <f>Table6[[#This Row],[behavioral_risk]]+Table6[[#This Row],[structural_risk]]</f>
        <v>1.8</v>
      </c>
      <c r="H7" s="5">
        <f>Table6[[#This Row],[total_risk]]/$G$202</f>
        <v>1.2</v>
      </c>
      <c r="I7" t="str">
        <f>IF(Table6[[#This Row],[total_risk_pct]]&gt;0.8%,"YES","NO")</f>
        <v>YES</v>
      </c>
      <c r="J7">
        <f>IF(Table6[[#This Row],[loan_amount]]&gt;70000,2,1)</f>
        <v>2</v>
      </c>
      <c r="K7">
        <f>Table6[[#This Row],[total_risk]]*Table6[[#This Row],[stress_multiplier]]</f>
        <v>3.6</v>
      </c>
      <c r="L7" s="5">
        <f>Table6[[#This Row],[stressed_total_risk]]/$K$202</f>
        <v>2.4</v>
      </c>
      <c r="M7">
        <f>Table6[[#This Row],[stressed_total_risk]]-Table6[[#This Row],[total_risk]]</f>
        <v>1.8</v>
      </c>
      <c r="N7" t="str">
        <f>_xlfn.XLOOKUP(Table6[[#This Row],[loan_id]],[1]!Loans[loan_id],[1]!Loans[loan_size_band])</f>
        <v>Large</v>
      </c>
      <c r="O7" s="4">
        <f>Table6[[#This Row],[total_paid]]/Table6[[#This Row],[total_due]]</f>
        <v>0.16943521594684385</v>
      </c>
    </row>
    <row r="8" spans="1:15" x14ac:dyDescent="0.25">
      <c r="A8" t="s">
        <v>21</v>
      </c>
      <c r="B8">
        <f>_xlfn.XLOOKUP(Table6[[#This Row],[loan_id]],[1]!Loans[loan_id],[1]!Loans[loan_amount])</f>
        <v>180000</v>
      </c>
      <c r="C8" s="4">
        <f>(Table6[[#This Row],[loan_amount]]*(1+0.02/6))</f>
        <v>180600</v>
      </c>
      <c r="D8">
        <f>_xlfn.XLOOKUP(Table6[[#This Row],[loan_id]],[1]!Repayment[loan_id],[1]!Repayment[amount_paid])</f>
        <v>30600</v>
      </c>
      <c r="E8">
        <v>1</v>
      </c>
      <c r="F8">
        <f>_xlfn.XLOOKUP(Table6[[#This Row],[loan_id]],[1]!Loans[loan_id],[1]!Loans[structural_risk])</f>
        <v>0.8</v>
      </c>
      <c r="G8">
        <f>Table6[[#This Row],[behavioral_risk]]+Table6[[#This Row],[structural_risk]]</f>
        <v>1.8</v>
      </c>
      <c r="H8" s="5">
        <f>Table6[[#This Row],[total_risk]]/$G$202</f>
        <v>1.2</v>
      </c>
      <c r="I8" t="str">
        <f>IF(Table6[[#This Row],[total_risk_pct]]&gt;0.8%,"YES","NO")</f>
        <v>YES</v>
      </c>
      <c r="J8">
        <f>IF(Table6[[#This Row],[loan_amount]]&gt;70000,2,1)</f>
        <v>2</v>
      </c>
      <c r="K8">
        <f>Table6[[#This Row],[total_risk]]*Table6[[#This Row],[stress_multiplier]]</f>
        <v>3.6</v>
      </c>
      <c r="L8" s="5">
        <f>Table6[[#This Row],[stressed_total_risk]]/$K$202</f>
        <v>2.4</v>
      </c>
      <c r="M8">
        <f>Table6[[#This Row],[stressed_total_risk]]-Table6[[#This Row],[total_risk]]</f>
        <v>1.8</v>
      </c>
      <c r="N8" t="str">
        <f>_xlfn.XLOOKUP(Table6[[#This Row],[loan_id]],[1]!Loans[loan_id],[1]!Loans[loan_size_band])</f>
        <v>Large</v>
      </c>
      <c r="O8" s="4">
        <f>Table6[[#This Row],[total_paid]]/Table6[[#This Row],[total_due]]</f>
        <v>0.16943521594684385</v>
      </c>
    </row>
    <row r="9" spans="1:15" x14ac:dyDescent="0.25">
      <c r="A9" t="s">
        <v>22</v>
      </c>
      <c r="B9">
        <f>_xlfn.XLOOKUP(Table6[[#This Row],[loan_id]],[1]!Loans[loan_id],[1]!Loans[loan_amount])</f>
        <v>260000</v>
      </c>
      <c r="C9" s="4">
        <f>(Table6[[#This Row],[loan_amount]]*(1+0.02/6))</f>
        <v>260866.66666666669</v>
      </c>
      <c r="D9">
        <f>_xlfn.XLOOKUP(Table6[[#This Row],[loan_id]],[1]!Repayment[loan_id],[1]!Repayment[amount_paid])</f>
        <v>44200</v>
      </c>
      <c r="E9">
        <v>1</v>
      </c>
      <c r="F9">
        <f>_xlfn.XLOOKUP(Table6[[#This Row],[loan_id]],[1]!Loans[loan_id],[1]!Loans[structural_risk])</f>
        <v>0.8</v>
      </c>
      <c r="G9">
        <f>Table6[[#This Row],[behavioral_risk]]+Table6[[#This Row],[structural_risk]]</f>
        <v>1.8</v>
      </c>
      <c r="H9" s="5">
        <f>Table6[[#This Row],[total_risk]]/$G$202</f>
        <v>1.2</v>
      </c>
      <c r="I9" t="str">
        <f>IF(Table6[[#This Row],[total_risk_pct]]&gt;0.8%,"YES","NO")</f>
        <v>YES</v>
      </c>
      <c r="J9">
        <f>IF(Table6[[#This Row],[loan_amount]]&gt;70000,2,1)</f>
        <v>2</v>
      </c>
      <c r="K9">
        <f>Table6[[#This Row],[total_risk]]*Table6[[#This Row],[stress_multiplier]]</f>
        <v>3.6</v>
      </c>
      <c r="L9" s="5">
        <f>Table6[[#This Row],[stressed_total_risk]]/$K$202</f>
        <v>2.4</v>
      </c>
      <c r="M9">
        <f>Table6[[#This Row],[stressed_total_risk]]-Table6[[#This Row],[total_risk]]</f>
        <v>1.8</v>
      </c>
      <c r="N9" t="str">
        <f>_xlfn.XLOOKUP(Table6[[#This Row],[loan_id]],[1]!Loans[loan_id],[1]!Loans[loan_size_band])</f>
        <v>Large</v>
      </c>
      <c r="O9" s="4">
        <f>Table6[[#This Row],[total_paid]]/Table6[[#This Row],[total_due]]</f>
        <v>0.16943521594684385</v>
      </c>
    </row>
    <row r="10" spans="1:15" x14ac:dyDescent="0.25">
      <c r="A10" t="s">
        <v>23</v>
      </c>
      <c r="B10">
        <f>_xlfn.XLOOKUP(Table6[[#This Row],[loan_id]],[1]!Loans[loan_id],[1]!Loans[loan_amount])</f>
        <v>500000</v>
      </c>
      <c r="C10" s="4">
        <f>(Table6[[#This Row],[loan_amount]]*(1+0.02/6))</f>
        <v>501666.66666666669</v>
      </c>
      <c r="D10">
        <f>_xlfn.XLOOKUP(Table6[[#This Row],[loan_id]],[1]!Repayment[loan_id],[1]!Repayment[amount_paid])</f>
        <v>85000</v>
      </c>
      <c r="E10">
        <v>1</v>
      </c>
      <c r="F10">
        <f>_xlfn.XLOOKUP(Table6[[#This Row],[loan_id]],[1]!Loans[loan_id],[1]!Loans[structural_risk])</f>
        <v>0.8</v>
      </c>
      <c r="G10">
        <f>Table6[[#This Row],[behavioral_risk]]+Table6[[#This Row],[structural_risk]]</f>
        <v>1.8</v>
      </c>
      <c r="H10" s="5">
        <f>Table6[[#This Row],[total_risk]]/$G$202</f>
        <v>1.2</v>
      </c>
      <c r="I10" t="str">
        <f>IF(Table6[[#This Row],[total_risk_pct]]&gt;0.8%,"YES","NO")</f>
        <v>YES</v>
      </c>
      <c r="J10">
        <f>IF(Table6[[#This Row],[loan_amount]]&gt;70000,2,1)</f>
        <v>2</v>
      </c>
      <c r="K10">
        <f>Table6[[#This Row],[total_risk]]*Table6[[#This Row],[stress_multiplier]]</f>
        <v>3.6</v>
      </c>
      <c r="L10" s="5">
        <f>Table6[[#This Row],[stressed_total_risk]]/$K$202</f>
        <v>2.4</v>
      </c>
      <c r="M10">
        <f>Table6[[#This Row],[stressed_total_risk]]-Table6[[#This Row],[total_risk]]</f>
        <v>1.8</v>
      </c>
      <c r="N10" t="str">
        <f>_xlfn.XLOOKUP(Table6[[#This Row],[loan_id]],[1]!Loans[loan_id],[1]!Loans[loan_size_band])</f>
        <v>Large</v>
      </c>
      <c r="O10" s="4">
        <f>Table6[[#This Row],[total_paid]]/Table6[[#This Row],[total_due]]</f>
        <v>0.16943521594684385</v>
      </c>
    </row>
    <row r="11" spans="1:15" x14ac:dyDescent="0.25">
      <c r="A11" t="s">
        <v>24</v>
      </c>
      <c r="B11">
        <f>_xlfn.XLOOKUP(Table6[[#This Row],[loan_id]],[1]!Loans[loan_id],[1]!Loans[loan_amount])</f>
        <v>340000</v>
      </c>
      <c r="C11" s="4">
        <f>(Table6[[#This Row],[loan_amount]]*(1+0.02/6))</f>
        <v>341133.33333333337</v>
      </c>
      <c r="D11">
        <f>_xlfn.XLOOKUP(Table6[[#This Row],[loan_id]],[1]!Repayment[loan_id],[1]!Repayment[amount_paid])</f>
        <v>57800</v>
      </c>
      <c r="E11">
        <v>1</v>
      </c>
      <c r="F11">
        <f>_xlfn.XLOOKUP(Table6[[#This Row],[loan_id]],[1]!Loans[loan_id],[1]!Loans[structural_risk])</f>
        <v>0.8</v>
      </c>
      <c r="G11">
        <f>Table6[[#This Row],[behavioral_risk]]+Table6[[#This Row],[structural_risk]]</f>
        <v>1.8</v>
      </c>
      <c r="H11" s="5">
        <f>Table6[[#This Row],[total_risk]]/$G$202</f>
        <v>1.2</v>
      </c>
      <c r="I11" t="str">
        <f>IF(Table6[[#This Row],[total_risk_pct]]&gt;0.8%,"YES","NO")</f>
        <v>YES</v>
      </c>
      <c r="J11">
        <f>IF(Table6[[#This Row],[loan_amount]]&gt;70000,2,1)</f>
        <v>2</v>
      </c>
      <c r="K11">
        <f>Table6[[#This Row],[total_risk]]*Table6[[#This Row],[stress_multiplier]]</f>
        <v>3.6</v>
      </c>
      <c r="L11" s="5">
        <f>Table6[[#This Row],[stressed_total_risk]]/$K$202</f>
        <v>2.4</v>
      </c>
      <c r="M11">
        <f>Table6[[#This Row],[stressed_total_risk]]-Table6[[#This Row],[total_risk]]</f>
        <v>1.8</v>
      </c>
      <c r="N11" t="str">
        <f>_xlfn.XLOOKUP(Table6[[#This Row],[loan_id]],[1]!Loans[loan_id],[1]!Loans[loan_size_band])</f>
        <v>Large</v>
      </c>
      <c r="O11" s="4">
        <f>Table6[[#This Row],[total_paid]]/Table6[[#This Row],[total_due]]</f>
        <v>0.16943521594684383</v>
      </c>
    </row>
    <row r="12" spans="1:15" x14ac:dyDescent="0.25">
      <c r="A12" t="s">
        <v>25</v>
      </c>
      <c r="B12">
        <f>_xlfn.XLOOKUP(Table6[[#This Row],[loan_id]],[1]!Loans[loan_id],[1]!Loans[loan_amount])</f>
        <v>200000</v>
      </c>
      <c r="C12" s="4">
        <f>(Table6[[#This Row],[loan_amount]]*(1+0.02/6))</f>
        <v>200666.66666666669</v>
      </c>
      <c r="D12">
        <f>_xlfn.XLOOKUP(Table6[[#This Row],[loan_id]],[1]!Repayment[loan_id],[1]!Repayment[amount_paid])</f>
        <v>34000</v>
      </c>
      <c r="E12">
        <v>1</v>
      </c>
      <c r="F12">
        <f>_xlfn.XLOOKUP(Table6[[#This Row],[loan_id]],[1]!Loans[loan_id],[1]!Loans[structural_risk])</f>
        <v>0.8</v>
      </c>
      <c r="G12">
        <f>Table6[[#This Row],[behavioral_risk]]+Table6[[#This Row],[structural_risk]]</f>
        <v>1.8</v>
      </c>
      <c r="H12" s="5">
        <f>Table6[[#This Row],[total_risk]]/$G$202</f>
        <v>1.2</v>
      </c>
      <c r="I12" t="str">
        <f>IF(Table6[[#This Row],[total_risk_pct]]&gt;0.8%,"YES","NO")</f>
        <v>YES</v>
      </c>
      <c r="J12">
        <f>IF(Table6[[#This Row],[loan_amount]]&gt;70000,2,1)</f>
        <v>2</v>
      </c>
      <c r="K12">
        <f>Table6[[#This Row],[total_risk]]*Table6[[#This Row],[stress_multiplier]]</f>
        <v>3.6</v>
      </c>
      <c r="L12" s="5">
        <f>Table6[[#This Row],[stressed_total_risk]]/$K$202</f>
        <v>2.4</v>
      </c>
      <c r="M12">
        <f>Table6[[#This Row],[stressed_total_risk]]-Table6[[#This Row],[total_risk]]</f>
        <v>1.8</v>
      </c>
      <c r="N12" t="str">
        <f>_xlfn.XLOOKUP(Table6[[#This Row],[loan_id]],[1]!Loans[loan_id],[1]!Loans[loan_size_band])</f>
        <v>Large</v>
      </c>
      <c r="O12" s="4">
        <f>Table6[[#This Row],[total_paid]]/Table6[[#This Row],[total_due]]</f>
        <v>0.16943521594684383</v>
      </c>
    </row>
    <row r="13" spans="1:15" x14ac:dyDescent="0.25">
      <c r="A13" t="s">
        <v>26</v>
      </c>
      <c r="B13">
        <f>_xlfn.XLOOKUP(Table6[[#This Row],[loan_id]],[1]!Loans[loan_id],[1]!Loans[loan_amount])</f>
        <v>310000</v>
      </c>
      <c r="C13" s="4">
        <f>(Table6[[#This Row],[loan_amount]]*(1+0.02/6))</f>
        <v>311033.33333333337</v>
      </c>
      <c r="D13">
        <f>_xlfn.XLOOKUP(Table6[[#This Row],[loan_id]],[1]!Repayment[loan_id],[1]!Repayment[amount_paid])</f>
        <v>52700</v>
      </c>
      <c r="E13">
        <v>1</v>
      </c>
      <c r="F13">
        <f>_xlfn.XLOOKUP(Table6[[#This Row],[loan_id]],[1]!Loans[loan_id],[1]!Loans[structural_risk])</f>
        <v>0.8</v>
      </c>
      <c r="G13">
        <f>Table6[[#This Row],[behavioral_risk]]+Table6[[#This Row],[structural_risk]]</f>
        <v>1.8</v>
      </c>
      <c r="H13" s="5">
        <f>Table6[[#This Row],[total_risk]]/$G$202</f>
        <v>1.2</v>
      </c>
      <c r="I13" t="str">
        <f>IF(Table6[[#This Row],[total_risk_pct]]&gt;0.8%,"YES","NO")</f>
        <v>YES</v>
      </c>
      <c r="J13">
        <f>IF(Table6[[#This Row],[loan_amount]]&gt;70000,2,1)</f>
        <v>2</v>
      </c>
      <c r="K13">
        <f>Table6[[#This Row],[total_risk]]*Table6[[#This Row],[stress_multiplier]]</f>
        <v>3.6</v>
      </c>
      <c r="L13" s="5">
        <f>Table6[[#This Row],[stressed_total_risk]]/$K$202</f>
        <v>2.4</v>
      </c>
      <c r="M13">
        <f>Table6[[#This Row],[stressed_total_risk]]-Table6[[#This Row],[total_risk]]</f>
        <v>1.8</v>
      </c>
      <c r="N13" t="str">
        <f>_xlfn.XLOOKUP(Table6[[#This Row],[loan_id]],[1]!Loans[loan_id],[1]!Loans[loan_size_band])</f>
        <v>Large</v>
      </c>
      <c r="O13" s="4">
        <f>Table6[[#This Row],[total_paid]]/Table6[[#This Row],[total_due]]</f>
        <v>0.16943521594684383</v>
      </c>
    </row>
    <row r="14" spans="1:15" x14ac:dyDescent="0.25">
      <c r="A14" t="s">
        <v>27</v>
      </c>
      <c r="B14">
        <f>_xlfn.XLOOKUP(Table6[[#This Row],[loan_id]],[1]!Loans[loan_id],[1]!Loans[loan_amount])</f>
        <v>300000</v>
      </c>
      <c r="C14" s="4">
        <f>(Table6[[#This Row],[loan_amount]]*(1+0.02/6))</f>
        <v>301000</v>
      </c>
      <c r="D14">
        <f>_xlfn.XLOOKUP(Table6[[#This Row],[loan_id]],[1]!Repayment[loan_id],[1]!Repayment[amount_paid])</f>
        <v>51000</v>
      </c>
      <c r="E14">
        <v>1</v>
      </c>
      <c r="F14">
        <f>_xlfn.XLOOKUP(Table6[[#This Row],[loan_id]],[1]!Loans[loan_id],[1]!Loans[structural_risk])</f>
        <v>0.8</v>
      </c>
      <c r="G14">
        <f>Table6[[#This Row],[behavioral_risk]]+Table6[[#This Row],[structural_risk]]</f>
        <v>1.8</v>
      </c>
      <c r="H14" s="5">
        <f>Table6[[#This Row],[total_risk]]/$G$202</f>
        <v>1.2</v>
      </c>
      <c r="I14" t="str">
        <f>IF(Table6[[#This Row],[total_risk_pct]]&gt;0.8%,"YES","NO")</f>
        <v>YES</v>
      </c>
      <c r="J14">
        <f>IF(Table6[[#This Row],[loan_amount]]&gt;70000,2,1)</f>
        <v>2</v>
      </c>
      <c r="K14">
        <f>Table6[[#This Row],[total_risk]]*Table6[[#This Row],[stress_multiplier]]</f>
        <v>3.6</v>
      </c>
      <c r="L14" s="5">
        <f>Table6[[#This Row],[stressed_total_risk]]/$K$202</f>
        <v>2.4</v>
      </c>
      <c r="M14">
        <f>Table6[[#This Row],[stressed_total_risk]]-Table6[[#This Row],[total_risk]]</f>
        <v>1.8</v>
      </c>
      <c r="N14" t="str">
        <f>_xlfn.XLOOKUP(Table6[[#This Row],[loan_id]],[1]!Loans[loan_id],[1]!Loans[loan_size_band])</f>
        <v>Large</v>
      </c>
      <c r="O14" s="4">
        <f>Table6[[#This Row],[total_paid]]/Table6[[#This Row],[total_due]]</f>
        <v>0.16943521594684385</v>
      </c>
    </row>
    <row r="15" spans="1:15" x14ac:dyDescent="0.25">
      <c r="A15" t="s">
        <v>28</v>
      </c>
      <c r="B15">
        <f>_xlfn.XLOOKUP(Table6[[#This Row],[loan_id]],[1]!Loans[loan_id],[1]!Loans[loan_amount])</f>
        <v>160000</v>
      </c>
      <c r="C15" s="4">
        <f>(Table6[[#This Row],[loan_amount]]*(1+0.02/6))</f>
        <v>160533.33333333334</v>
      </c>
      <c r="D15">
        <f>_xlfn.XLOOKUP(Table6[[#This Row],[loan_id]],[1]!Repayment[loan_id],[1]!Repayment[amount_paid])</f>
        <v>27200</v>
      </c>
      <c r="E15">
        <v>1</v>
      </c>
      <c r="F15">
        <f>_xlfn.XLOOKUP(Table6[[#This Row],[loan_id]],[1]!Loans[loan_id],[1]!Loans[structural_risk])</f>
        <v>0.8</v>
      </c>
      <c r="G15">
        <f>Table6[[#This Row],[behavioral_risk]]+Table6[[#This Row],[structural_risk]]</f>
        <v>1.8</v>
      </c>
      <c r="H15" s="5">
        <f>Table6[[#This Row],[total_risk]]/$G$202</f>
        <v>1.2</v>
      </c>
      <c r="I15" t="str">
        <f>IF(Table6[[#This Row],[total_risk_pct]]&gt;0.8%,"YES","NO")</f>
        <v>YES</v>
      </c>
      <c r="J15">
        <f>IF(Table6[[#This Row],[loan_amount]]&gt;70000,2,1)</f>
        <v>2</v>
      </c>
      <c r="K15">
        <f>Table6[[#This Row],[total_risk]]*Table6[[#This Row],[stress_multiplier]]</f>
        <v>3.6</v>
      </c>
      <c r="L15" s="5">
        <f>Table6[[#This Row],[stressed_total_risk]]/$K$202</f>
        <v>2.4</v>
      </c>
      <c r="M15">
        <f>Table6[[#This Row],[stressed_total_risk]]-Table6[[#This Row],[total_risk]]</f>
        <v>1.8</v>
      </c>
      <c r="N15" t="str">
        <f>_xlfn.XLOOKUP(Table6[[#This Row],[loan_id]],[1]!Loans[loan_id],[1]!Loans[loan_size_band])</f>
        <v>Large</v>
      </c>
      <c r="O15" s="4">
        <f>Table6[[#This Row],[total_paid]]/Table6[[#This Row],[total_due]]</f>
        <v>0.16943521594684385</v>
      </c>
    </row>
    <row r="16" spans="1:15" x14ac:dyDescent="0.25">
      <c r="A16" t="s">
        <v>29</v>
      </c>
      <c r="B16">
        <f>_xlfn.XLOOKUP(Table6[[#This Row],[loan_id]],[1]!Loans[loan_id],[1]!Loans[loan_amount])</f>
        <v>210000</v>
      </c>
      <c r="C16" s="4">
        <f>(Table6[[#This Row],[loan_amount]]*(1+0.02/6))</f>
        <v>210700.00000000003</v>
      </c>
      <c r="D16">
        <f>_xlfn.XLOOKUP(Table6[[#This Row],[loan_id]],[1]!Repayment[loan_id],[1]!Repayment[amount_paid])</f>
        <v>35700</v>
      </c>
      <c r="E16">
        <v>1</v>
      </c>
      <c r="F16">
        <f>_xlfn.XLOOKUP(Table6[[#This Row],[loan_id]],[1]!Loans[loan_id],[1]!Loans[structural_risk])</f>
        <v>0.8</v>
      </c>
      <c r="G16">
        <f>Table6[[#This Row],[behavioral_risk]]+Table6[[#This Row],[structural_risk]]</f>
        <v>1.8</v>
      </c>
      <c r="H16" s="5">
        <f>Table6[[#This Row],[total_risk]]/$G$202</f>
        <v>1.2</v>
      </c>
      <c r="I16" t="str">
        <f>IF(Table6[[#This Row],[total_risk_pct]]&gt;0.8%,"YES","NO")</f>
        <v>YES</v>
      </c>
      <c r="J16">
        <f>IF(Table6[[#This Row],[loan_amount]]&gt;70000,2,1)</f>
        <v>2</v>
      </c>
      <c r="K16">
        <f>Table6[[#This Row],[total_risk]]*Table6[[#This Row],[stress_multiplier]]</f>
        <v>3.6</v>
      </c>
      <c r="L16" s="5">
        <f>Table6[[#This Row],[stressed_total_risk]]/$K$202</f>
        <v>2.4</v>
      </c>
      <c r="M16">
        <f>Table6[[#This Row],[stressed_total_risk]]-Table6[[#This Row],[total_risk]]</f>
        <v>1.8</v>
      </c>
      <c r="N16" t="str">
        <f>_xlfn.XLOOKUP(Table6[[#This Row],[loan_id]],[1]!Loans[loan_id],[1]!Loans[loan_size_band])</f>
        <v>Large</v>
      </c>
      <c r="O16" s="4">
        <f>Table6[[#This Row],[total_paid]]/Table6[[#This Row],[total_due]]</f>
        <v>0.16943521594684383</v>
      </c>
    </row>
    <row r="17" spans="1:15" x14ac:dyDescent="0.25">
      <c r="A17" t="s">
        <v>30</v>
      </c>
      <c r="B17">
        <f>_xlfn.XLOOKUP(Table6[[#This Row],[loan_id]],[1]!Loans[loan_id],[1]!Loans[loan_amount])</f>
        <v>450000</v>
      </c>
      <c r="C17" s="4">
        <f>(Table6[[#This Row],[loan_amount]]*(1+0.02/6))</f>
        <v>451500.00000000006</v>
      </c>
      <c r="D17">
        <f>_xlfn.XLOOKUP(Table6[[#This Row],[loan_id]],[1]!Repayment[loan_id],[1]!Repayment[amount_paid])</f>
        <v>76500</v>
      </c>
      <c r="E17">
        <v>1</v>
      </c>
      <c r="F17">
        <f>_xlfn.XLOOKUP(Table6[[#This Row],[loan_id]],[1]!Loans[loan_id],[1]!Loans[structural_risk])</f>
        <v>0.8</v>
      </c>
      <c r="G17">
        <f>Table6[[#This Row],[behavioral_risk]]+Table6[[#This Row],[structural_risk]]</f>
        <v>1.8</v>
      </c>
      <c r="H17" s="5">
        <f>Table6[[#This Row],[total_risk]]/$G$202</f>
        <v>1.2</v>
      </c>
      <c r="I17" t="str">
        <f>IF(Table6[[#This Row],[total_risk_pct]]&gt;0.8%,"YES","NO")</f>
        <v>YES</v>
      </c>
      <c r="J17">
        <f>IF(Table6[[#This Row],[loan_amount]]&gt;70000,2,1)</f>
        <v>2</v>
      </c>
      <c r="K17">
        <f>Table6[[#This Row],[total_risk]]*Table6[[#This Row],[stress_multiplier]]</f>
        <v>3.6</v>
      </c>
      <c r="L17" s="5">
        <f>Table6[[#This Row],[stressed_total_risk]]/$K$202</f>
        <v>2.4</v>
      </c>
      <c r="M17">
        <f>Table6[[#This Row],[stressed_total_risk]]-Table6[[#This Row],[total_risk]]</f>
        <v>1.8</v>
      </c>
      <c r="N17" t="str">
        <f>_xlfn.XLOOKUP(Table6[[#This Row],[loan_id]],[1]!Loans[loan_id],[1]!Loans[loan_size_band])</f>
        <v>Large</v>
      </c>
      <c r="O17" s="4">
        <f>Table6[[#This Row],[total_paid]]/Table6[[#This Row],[total_due]]</f>
        <v>0.16943521594684383</v>
      </c>
    </row>
    <row r="18" spans="1:15" x14ac:dyDescent="0.25">
      <c r="A18" t="s">
        <v>31</v>
      </c>
      <c r="B18">
        <f>_xlfn.XLOOKUP(Table6[[#This Row],[loan_id]],[1]!Loans[loan_id],[1]!Loans[loan_amount])</f>
        <v>170000</v>
      </c>
      <c r="C18" s="4">
        <f>(Table6[[#This Row],[loan_amount]]*(1+0.02/6))</f>
        <v>170566.66666666669</v>
      </c>
      <c r="D18">
        <f>_xlfn.XLOOKUP(Table6[[#This Row],[loan_id]],[1]!Repayment[loan_id],[1]!Repayment[amount_paid])</f>
        <v>28900</v>
      </c>
      <c r="E18">
        <v>1</v>
      </c>
      <c r="F18">
        <f>_xlfn.XLOOKUP(Table6[[#This Row],[loan_id]],[1]!Loans[loan_id],[1]!Loans[structural_risk])</f>
        <v>0.8</v>
      </c>
      <c r="G18">
        <f>Table6[[#This Row],[behavioral_risk]]+Table6[[#This Row],[structural_risk]]</f>
        <v>1.8</v>
      </c>
      <c r="H18" s="5">
        <f>Table6[[#This Row],[total_risk]]/$G$202</f>
        <v>1.2</v>
      </c>
      <c r="I18" t="str">
        <f>IF(Table6[[#This Row],[total_risk_pct]]&gt;0.8%,"YES","NO")</f>
        <v>YES</v>
      </c>
      <c r="J18">
        <f>IF(Table6[[#This Row],[loan_amount]]&gt;70000,2,1)</f>
        <v>2</v>
      </c>
      <c r="K18">
        <f>Table6[[#This Row],[total_risk]]*Table6[[#This Row],[stress_multiplier]]</f>
        <v>3.6</v>
      </c>
      <c r="L18" s="5">
        <f>Table6[[#This Row],[stressed_total_risk]]/$K$202</f>
        <v>2.4</v>
      </c>
      <c r="M18">
        <f>Table6[[#This Row],[stressed_total_risk]]-Table6[[#This Row],[total_risk]]</f>
        <v>1.8</v>
      </c>
      <c r="N18" t="str">
        <f>_xlfn.XLOOKUP(Table6[[#This Row],[loan_id]],[1]!Loans[loan_id],[1]!Loans[loan_size_band])</f>
        <v>Large</v>
      </c>
      <c r="O18" s="4">
        <f>Table6[[#This Row],[total_paid]]/Table6[[#This Row],[total_due]]</f>
        <v>0.16943521594684383</v>
      </c>
    </row>
    <row r="19" spans="1:15" x14ac:dyDescent="0.25">
      <c r="A19" t="s">
        <v>32</v>
      </c>
      <c r="B19">
        <f>_xlfn.XLOOKUP(Table6[[#This Row],[loan_id]],[1]!Loans[loan_id],[1]!Loans[loan_amount])</f>
        <v>200000</v>
      </c>
      <c r="C19" s="4">
        <f>(Table6[[#This Row],[loan_amount]]*(1+0.02/6))</f>
        <v>200666.66666666669</v>
      </c>
      <c r="D19">
        <f>_xlfn.XLOOKUP(Table6[[#This Row],[loan_id]],[1]!Repayment[loan_id],[1]!Repayment[amount_paid])</f>
        <v>34000</v>
      </c>
      <c r="E19">
        <v>1</v>
      </c>
      <c r="F19">
        <f>_xlfn.XLOOKUP(Table6[[#This Row],[loan_id]],[1]!Loans[loan_id],[1]!Loans[structural_risk])</f>
        <v>0.8</v>
      </c>
      <c r="G19">
        <f>Table6[[#This Row],[behavioral_risk]]+Table6[[#This Row],[structural_risk]]</f>
        <v>1.8</v>
      </c>
      <c r="H19" s="5">
        <f>Table6[[#This Row],[total_risk]]/$G$202</f>
        <v>1.2</v>
      </c>
      <c r="I19" t="str">
        <f>IF(Table6[[#This Row],[total_risk_pct]]&gt;0.8%,"YES","NO")</f>
        <v>YES</v>
      </c>
      <c r="J19">
        <f>IF(Table6[[#This Row],[loan_amount]]&gt;70000,2,1)</f>
        <v>2</v>
      </c>
      <c r="K19">
        <f>Table6[[#This Row],[total_risk]]*Table6[[#This Row],[stress_multiplier]]</f>
        <v>3.6</v>
      </c>
      <c r="L19" s="5">
        <f>Table6[[#This Row],[stressed_total_risk]]/$K$202</f>
        <v>2.4</v>
      </c>
      <c r="M19">
        <f>Table6[[#This Row],[stressed_total_risk]]-Table6[[#This Row],[total_risk]]</f>
        <v>1.8</v>
      </c>
      <c r="N19" t="str">
        <f>_xlfn.XLOOKUP(Table6[[#This Row],[loan_id]],[1]!Loans[loan_id],[1]!Loans[loan_size_band])</f>
        <v>Large</v>
      </c>
      <c r="O19" s="4">
        <f>Table6[[#This Row],[total_paid]]/Table6[[#This Row],[total_due]]</f>
        <v>0.16943521594684383</v>
      </c>
    </row>
    <row r="20" spans="1:15" x14ac:dyDescent="0.25">
      <c r="A20" t="s">
        <v>33</v>
      </c>
      <c r="B20">
        <f>_xlfn.XLOOKUP(Table6[[#This Row],[loan_id]],[1]!Loans[loan_id],[1]!Loans[loan_amount])</f>
        <v>100000</v>
      </c>
      <c r="C20" s="4">
        <f>(Table6[[#This Row],[loan_amount]]*(1+0.02/6))</f>
        <v>100333.33333333334</v>
      </c>
      <c r="D20">
        <f>_xlfn.XLOOKUP(Table6[[#This Row],[loan_id]],[1]!Repayment[loan_id],[1]!Repayment[amount_paid])</f>
        <v>17000</v>
      </c>
      <c r="E20">
        <v>0.5</v>
      </c>
      <c r="F20">
        <f>_xlfn.XLOOKUP(Table6[[#This Row],[loan_id]],[1]!Loans[loan_id],[1]!Loans[structural_risk])</f>
        <v>0.8</v>
      </c>
      <c r="G20">
        <f>Table6[[#This Row],[behavioral_risk]]+Table6[[#This Row],[structural_risk]]</f>
        <v>1.3</v>
      </c>
      <c r="H20" s="5">
        <f>Table6[[#This Row],[total_risk]]/$G$202</f>
        <v>0.8666666666666667</v>
      </c>
      <c r="I20" t="str">
        <f>IF(Table6[[#This Row],[total_risk_pct]]&gt;0.8%,"YES","NO")</f>
        <v>YES</v>
      </c>
      <c r="J20">
        <f>IF(Table6[[#This Row],[loan_amount]]&gt;70000,2,1)</f>
        <v>2</v>
      </c>
      <c r="K20">
        <f>Table6[[#This Row],[total_risk]]*Table6[[#This Row],[stress_multiplier]]</f>
        <v>2.6</v>
      </c>
      <c r="L20" s="5">
        <f>Table6[[#This Row],[stressed_total_risk]]/$K$202</f>
        <v>1.7333333333333334</v>
      </c>
      <c r="M20">
        <f>Table6[[#This Row],[stressed_total_risk]]-Table6[[#This Row],[total_risk]]</f>
        <v>1.3</v>
      </c>
      <c r="N20" t="str">
        <f>_xlfn.XLOOKUP(Table6[[#This Row],[loan_id]],[1]!Loans[loan_id],[1]!Loans[loan_size_band])</f>
        <v>Large</v>
      </c>
      <c r="O20" s="4">
        <f>Table6[[#This Row],[total_paid]]/Table6[[#This Row],[total_due]]</f>
        <v>0.16943521594684383</v>
      </c>
    </row>
    <row r="21" spans="1:15" x14ac:dyDescent="0.25">
      <c r="A21" t="s">
        <v>34</v>
      </c>
      <c r="B21">
        <f>_xlfn.XLOOKUP(Table6[[#This Row],[loan_id]],[1]!Loans[loan_id],[1]!Loans[loan_amount])</f>
        <v>230000</v>
      </c>
      <c r="C21" s="4">
        <f>(Table6[[#This Row],[loan_amount]]*(1+0.02/6))</f>
        <v>230766.66666666669</v>
      </c>
      <c r="D21">
        <f>_xlfn.XLOOKUP(Table6[[#This Row],[loan_id]],[1]!Repayment[loan_id],[1]!Repayment[amount_paid])</f>
        <v>39100</v>
      </c>
      <c r="E21">
        <v>0.5</v>
      </c>
      <c r="F21">
        <f>_xlfn.XLOOKUP(Table6[[#This Row],[loan_id]],[1]!Loans[loan_id],[1]!Loans[structural_risk])</f>
        <v>0.8</v>
      </c>
      <c r="G21">
        <f>Table6[[#This Row],[behavioral_risk]]+Table6[[#This Row],[structural_risk]]</f>
        <v>1.3</v>
      </c>
      <c r="H21" s="5">
        <f>Table6[[#This Row],[total_risk]]/$G$202</f>
        <v>0.8666666666666667</v>
      </c>
      <c r="I21" t="str">
        <f>IF(Table6[[#This Row],[total_risk_pct]]&gt;0.8%,"YES","NO")</f>
        <v>YES</v>
      </c>
      <c r="J21">
        <f>IF(Table6[[#This Row],[loan_amount]]&gt;70000,2,1)</f>
        <v>2</v>
      </c>
      <c r="K21">
        <f>Table6[[#This Row],[total_risk]]*Table6[[#This Row],[stress_multiplier]]</f>
        <v>2.6</v>
      </c>
      <c r="L21" s="5">
        <f>Table6[[#This Row],[stressed_total_risk]]/$K$202</f>
        <v>1.7333333333333334</v>
      </c>
      <c r="M21">
        <f>Table6[[#This Row],[stressed_total_risk]]-Table6[[#This Row],[total_risk]]</f>
        <v>1.3</v>
      </c>
      <c r="N21" t="str">
        <f>_xlfn.XLOOKUP(Table6[[#This Row],[loan_id]],[1]!Loans[loan_id],[1]!Loans[loan_size_band])</f>
        <v>Large</v>
      </c>
      <c r="O21" s="4">
        <f>Table6[[#This Row],[total_paid]]/Table6[[#This Row],[total_due]]</f>
        <v>0.16943521594684385</v>
      </c>
    </row>
    <row r="22" spans="1:15" x14ac:dyDescent="0.25">
      <c r="A22" t="s">
        <v>35</v>
      </c>
      <c r="B22">
        <f>_xlfn.XLOOKUP(Table6[[#This Row],[loan_id]],[1]!Loans[loan_id],[1]!Loans[loan_amount])</f>
        <v>340000</v>
      </c>
      <c r="C22" s="4">
        <f>(Table6[[#This Row],[loan_amount]]*(1+0.02/6))</f>
        <v>341133.33333333337</v>
      </c>
      <c r="D22">
        <f>_xlfn.XLOOKUP(Table6[[#This Row],[loan_id]],[1]!Repayment[loan_id],[1]!Repayment[amount_paid])</f>
        <v>57800</v>
      </c>
      <c r="E22">
        <v>0.5</v>
      </c>
      <c r="F22">
        <f>_xlfn.XLOOKUP(Table6[[#This Row],[loan_id]],[1]!Loans[loan_id],[1]!Loans[structural_risk])</f>
        <v>0.8</v>
      </c>
      <c r="G22">
        <f>Table6[[#This Row],[behavioral_risk]]+Table6[[#This Row],[structural_risk]]</f>
        <v>1.3</v>
      </c>
      <c r="H22" s="5">
        <f>Table6[[#This Row],[total_risk]]/$G$202</f>
        <v>0.8666666666666667</v>
      </c>
      <c r="I22" t="str">
        <f>IF(Table6[[#This Row],[total_risk_pct]]&gt;0.8%,"YES","NO")</f>
        <v>YES</v>
      </c>
      <c r="J22">
        <f>IF(Table6[[#This Row],[loan_amount]]&gt;70000,2,1)</f>
        <v>2</v>
      </c>
      <c r="K22">
        <f>Table6[[#This Row],[total_risk]]*Table6[[#This Row],[stress_multiplier]]</f>
        <v>2.6</v>
      </c>
      <c r="L22" s="5">
        <f>Table6[[#This Row],[stressed_total_risk]]/$K$202</f>
        <v>1.7333333333333334</v>
      </c>
      <c r="M22">
        <f>Table6[[#This Row],[stressed_total_risk]]-Table6[[#This Row],[total_risk]]</f>
        <v>1.3</v>
      </c>
      <c r="N22" t="str">
        <f>_xlfn.XLOOKUP(Table6[[#This Row],[loan_id]],[1]!Loans[loan_id],[1]!Loans[loan_size_band])</f>
        <v>Large</v>
      </c>
      <c r="O22" s="4">
        <f>Table6[[#This Row],[total_paid]]/Table6[[#This Row],[total_due]]</f>
        <v>0.16943521594684383</v>
      </c>
    </row>
    <row r="23" spans="1:15" x14ac:dyDescent="0.25">
      <c r="A23" t="s">
        <v>36</v>
      </c>
      <c r="B23">
        <f>_xlfn.XLOOKUP(Table6[[#This Row],[loan_id]],[1]!Loans[loan_id],[1]!Loans[loan_amount])</f>
        <v>160000</v>
      </c>
      <c r="C23" s="4">
        <f>(Table6[[#This Row],[loan_amount]]*(1+0.02/6))</f>
        <v>160533.33333333334</v>
      </c>
      <c r="D23">
        <f>_xlfn.XLOOKUP(Table6[[#This Row],[loan_id]],[1]!Repayment[loan_id],[1]!Repayment[amount_paid])</f>
        <v>27200</v>
      </c>
      <c r="E23">
        <v>0.5</v>
      </c>
      <c r="F23">
        <f>_xlfn.XLOOKUP(Table6[[#This Row],[loan_id]],[1]!Loans[loan_id],[1]!Loans[structural_risk])</f>
        <v>0.8</v>
      </c>
      <c r="G23">
        <f>Table6[[#This Row],[behavioral_risk]]+Table6[[#This Row],[structural_risk]]</f>
        <v>1.3</v>
      </c>
      <c r="H23" s="5">
        <f>Table6[[#This Row],[total_risk]]/$G$202</f>
        <v>0.8666666666666667</v>
      </c>
      <c r="I23" t="str">
        <f>IF(Table6[[#This Row],[total_risk_pct]]&gt;0.8%,"YES","NO")</f>
        <v>YES</v>
      </c>
      <c r="J23">
        <f>IF(Table6[[#This Row],[loan_amount]]&gt;70000,2,1)</f>
        <v>2</v>
      </c>
      <c r="K23">
        <f>Table6[[#This Row],[total_risk]]*Table6[[#This Row],[stress_multiplier]]</f>
        <v>2.6</v>
      </c>
      <c r="L23" s="5">
        <f>Table6[[#This Row],[stressed_total_risk]]/$K$202</f>
        <v>1.7333333333333334</v>
      </c>
      <c r="M23">
        <f>Table6[[#This Row],[stressed_total_risk]]-Table6[[#This Row],[total_risk]]</f>
        <v>1.3</v>
      </c>
      <c r="N23" t="str">
        <f>_xlfn.XLOOKUP(Table6[[#This Row],[loan_id]],[1]!Loans[loan_id],[1]!Loans[loan_size_band])</f>
        <v>Large</v>
      </c>
      <c r="O23" s="4">
        <f>Table6[[#This Row],[total_paid]]/Table6[[#This Row],[total_due]]</f>
        <v>0.16943521594684385</v>
      </c>
    </row>
    <row r="24" spans="1:15" x14ac:dyDescent="0.25">
      <c r="A24" t="s">
        <v>37</v>
      </c>
      <c r="B24">
        <f>_xlfn.XLOOKUP(Table6[[#This Row],[loan_id]],[1]!Loans[loan_id],[1]!Loans[loan_amount])</f>
        <v>330000</v>
      </c>
      <c r="C24" s="4">
        <f>(Table6[[#This Row],[loan_amount]]*(1+0.02/6))</f>
        <v>331100</v>
      </c>
      <c r="D24">
        <f>_xlfn.XLOOKUP(Table6[[#This Row],[loan_id]],[1]!Repayment[loan_id],[1]!Repayment[amount_paid])</f>
        <v>56100</v>
      </c>
      <c r="E24">
        <v>0.5</v>
      </c>
      <c r="F24">
        <f>_xlfn.XLOOKUP(Table6[[#This Row],[loan_id]],[1]!Loans[loan_id],[1]!Loans[structural_risk])</f>
        <v>0.8</v>
      </c>
      <c r="G24">
        <f>Table6[[#This Row],[behavioral_risk]]+Table6[[#This Row],[structural_risk]]</f>
        <v>1.3</v>
      </c>
      <c r="H24" s="5">
        <f>Table6[[#This Row],[total_risk]]/$G$202</f>
        <v>0.8666666666666667</v>
      </c>
      <c r="I24" t="str">
        <f>IF(Table6[[#This Row],[total_risk_pct]]&gt;0.8%,"YES","NO")</f>
        <v>YES</v>
      </c>
      <c r="J24">
        <f>IF(Table6[[#This Row],[loan_amount]]&gt;70000,2,1)</f>
        <v>2</v>
      </c>
      <c r="K24">
        <f>Table6[[#This Row],[total_risk]]*Table6[[#This Row],[stress_multiplier]]</f>
        <v>2.6</v>
      </c>
      <c r="L24" s="5">
        <f>Table6[[#This Row],[stressed_total_risk]]/$K$202</f>
        <v>1.7333333333333334</v>
      </c>
      <c r="M24">
        <f>Table6[[#This Row],[stressed_total_risk]]-Table6[[#This Row],[total_risk]]</f>
        <v>1.3</v>
      </c>
      <c r="N24" t="str">
        <f>_xlfn.XLOOKUP(Table6[[#This Row],[loan_id]],[1]!Loans[loan_id],[1]!Loans[loan_size_band])</f>
        <v>Large</v>
      </c>
      <c r="O24" s="4">
        <f>Table6[[#This Row],[total_paid]]/Table6[[#This Row],[total_due]]</f>
        <v>0.16943521594684385</v>
      </c>
    </row>
    <row r="25" spans="1:15" x14ac:dyDescent="0.25">
      <c r="A25" t="s">
        <v>38</v>
      </c>
      <c r="B25">
        <f>_xlfn.XLOOKUP(Table6[[#This Row],[loan_id]],[1]!Loans[loan_id],[1]!Loans[loan_amount])</f>
        <v>440000</v>
      </c>
      <c r="C25" s="4">
        <f>(Table6[[#This Row],[loan_amount]]*(1+0.02/6))</f>
        <v>441466.66666666669</v>
      </c>
      <c r="D25">
        <f>_xlfn.XLOOKUP(Table6[[#This Row],[loan_id]],[1]!Repayment[loan_id],[1]!Repayment[amount_paid])</f>
        <v>74800</v>
      </c>
      <c r="E25">
        <v>0.5</v>
      </c>
      <c r="F25">
        <f>_xlfn.XLOOKUP(Table6[[#This Row],[loan_id]],[1]!Loans[loan_id],[1]!Loans[structural_risk])</f>
        <v>0.8</v>
      </c>
      <c r="G25">
        <f>Table6[[#This Row],[behavioral_risk]]+Table6[[#This Row],[structural_risk]]</f>
        <v>1.3</v>
      </c>
      <c r="H25" s="5">
        <f>Table6[[#This Row],[total_risk]]/$G$202</f>
        <v>0.8666666666666667</v>
      </c>
      <c r="I25" t="str">
        <f>IF(Table6[[#This Row],[total_risk_pct]]&gt;0.8%,"YES","NO")</f>
        <v>YES</v>
      </c>
      <c r="J25">
        <f>IF(Table6[[#This Row],[loan_amount]]&gt;70000,2,1)</f>
        <v>2</v>
      </c>
      <c r="K25">
        <f>Table6[[#This Row],[total_risk]]*Table6[[#This Row],[stress_multiplier]]</f>
        <v>2.6</v>
      </c>
      <c r="L25" s="5">
        <f>Table6[[#This Row],[stressed_total_risk]]/$K$202</f>
        <v>1.7333333333333334</v>
      </c>
      <c r="M25">
        <f>Table6[[#This Row],[stressed_total_risk]]-Table6[[#This Row],[total_risk]]</f>
        <v>1.3</v>
      </c>
      <c r="N25" t="str">
        <f>_xlfn.XLOOKUP(Table6[[#This Row],[loan_id]],[1]!Loans[loan_id],[1]!Loans[loan_size_band])</f>
        <v>Large</v>
      </c>
      <c r="O25" s="4">
        <f>Table6[[#This Row],[total_paid]]/Table6[[#This Row],[total_due]]</f>
        <v>0.16943521594684385</v>
      </c>
    </row>
    <row r="26" spans="1:15" x14ac:dyDescent="0.25">
      <c r="A26" t="s">
        <v>39</v>
      </c>
      <c r="B26">
        <f>_xlfn.XLOOKUP(Table6[[#This Row],[loan_id]],[1]!Loans[loan_id],[1]!Loans[loan_amount])</f>
        <v>80000</v>
      </c>
      <c r="C26" s="4">
        <f>(Table6[[#This Row],[loan_amount]]*(1+0.02/6))</f>
        <v>80266.666666666672</v>
      </c>
      <c r="D26">
        <f>_xlfn.XLOOKUP(Table6[[#This Row],[loan_id]],[1]!Repayment[loan_id],[1]!Repayment[amount_paid])</f>
        <v>13600</v>
      </c>
      <c r="E26">
        <v>0.5</v>
      </c>
      <c r="F26">
        <f>_xlfn.XLOOKUP(Table6[[#This Row],[loan_id]],[1]!Loans[loan_id],[1]!Loans[structural_risk])</f>
        <v>0.8</v>
      </c>
      <c r="G26">
        <f>Table6[[#This Row],[behavioral_risk]]+Table6[[#This Row],[structural_risk]]</f>
        <v>1.3</v>
      </c>
      <c r="H26" s="5">
        <f>Table6[[#This Row],[total_risk]]/$G$202</f>
        <v>0.8666666666666667</v>
      </c>
      <c r="I26" t="str">
        <f>IF(Table6[[#This Row],[total_risk_pct]]&gt;0.8%,"YES","NO")</f>
        <v>YES</v>
      </c>
      <c r="J26">
        <f>IF(Table6[[#This Row],[loan_amount]]&gt;70000,2,1)</f>
        <v>2</v>
      </c>
      <c r="K26">
        <f>Table6[[#This Row],[total_risk]]*Table6[[#This Row],[stress_multiplier]]</f>
        <v>2.6</v>
      </c>
      <c r="L26" s="5">
        <f>Table6[[#This Row],[stressed_total_risk]]/$K$202</f>
        <v>1.7333333333333334</v>
      </c>
      <c r="M26">
        <f>Table6[[#This Row],[stressed_total_risk]]-Table6[[#This Row],[total_risk]]</f>
        <v>1.3</v>
      </c>
      <c r="N26" t="str">
        <f>_xlfn.XLOOKUP(Table6[[#This Row],[loan_id]],[1]!Loans[loan_id],[1]!Loans[loan_size_band])</f>
        <v>Large</v>
      </c>
      <c r="O26" s="4">
        <f>Table6[[#This Row],[total_paid]]/Table6[[#This Row],[total_due]]</f>
        <v>0.16943521594684385</v>
      </c>
    </row>
    <row r="27" spans="1:15" x14ac:dyDescent="0.25">
      <c r="A27" t="s">
        <v>40</v>
      </c>
      <c r="B27">
        <f>_xlfn.XLOOKUP(Table6[[#This Row],[loan_id]],[1]!Loans[loan_id],[1]!Loans[loan_amount])</f>
        <v>110000</v>
      </c>
      <c r="C27" s="4">
        <f>(Table6[[#This Row],[loan_amount]]*(1+0.02/6))</f>
        <v>110366.66666666667</v>
      </c>
      <c r="D27">
        <f>_xlfn.XLOOKUP(Table6[[#This Row],[loan_id]],[1]!Repayment[loan_id],[1]!Repayment[amount_paid])</f>
        <v>18700</v>
      </c>
      <c r="E27">
        <v>0.5</v>
      </c>
      <c r="F27">
        <f>_xlfn.XLOOKUP(Table6[[#This Row],[loan_id]],[1]!Loans[loan_id],[1]!Loans[structural_risk])</f>
        <v>0.8</v>
      </c>
      <c r="G27">
        <f>Table6[[#This Row],[behavioral_risk]]+Table6[[#This Row],[structural_risk]]</f>
        <v>1.3</v>
      </c>
      <c r="H27" s="5">
        <f>Table6[[#This Row],[total_risk]]/$G$202</f>
        <v>0.8666666666666667</v>
      </c>
      <c r="I27" t="str">
        <f>IF(Table6[[#This Row],[total_risk_pct]]&gt;0.8%,"YES","NO")</f>
        <v>YES</v>
      </c>
      <c r="J27">
        <f>IF(Table6[[#This Row],[loan_amount]]&gt;70000,2,1)</f>
        <v>2</v>
      </c>
      <c r="K27">
        <f>Table6[[#This Row],[total_risk]]*Table6[[#This Row],[stress_multiplier]]</f>
        <v>2.6</v>
      </c>
      <c r="L27" s="5">
        <f>Table6[[#This Row],[stressed_total_risk]]/$K$202</f>
        <v>1.7333333333333334</v>
      </c>
      <c r="M27">
        <f>Table6[[#This Row],[stressed_total_risk]]-Table6[[#This Row],[total_risk]]</f>
        <v>1.3</v>
      </c>
      <c r="N27" t="str">
        <f>_xlfn.XLOOKUP(Table6[[#This Row],[loan_id]],[1]!Loans[loan_id],[1]!Loans[loan_size_band])</f>
        <v>Large</v>
      </c>
      <c r="O27" s="4">
        <f>Table6[[#This Row],[total_paid]]/Table6[[#This Row],[total_due]]</f>
        <v>0.16943521594684385</v>
      </c>
    </row>
    <row r="28" spans="1:15" x14ac:dyDescent="0.25">
      <c r="A28" t="s">
        <v>41</v>
      </c>
      <c r="B28">
        <f>_xlfn.XLOOKUP(Table6[[#This Row],[loan_id]],[1]!Loans[loan_id],[1]!Loans[loan_amount])</f>
        <v>230000</v>
      </c>
      <c r="C28" s="4">
        <f>(Table6[[#This Row],[loan_amount]]*(1+0.02/6))</f>
        <v>230766.66666666669</v>
      </c>
      <c r="D28">
        <f>_xlfn.XLOOKUP(Table6[[#This Row],[loan_id]],[1]!Repayment[loan_id],[1]!Repayment[amount_paid])</f>
        <v>39100</v>
      </c>
      <c r="E28">
        <v>0.5</v>
      </c>
      <c r="F28">
        <f>_xlfn.XLOOKUP(Table6[[#This Row],[loan_id]],[1]!Loans[loan_id],[1]!Loans[structural_risk])</f>
        <v>0.8</v>
      </c>
      <c r="G28">
        <f>Table6[[#This Row],[behavioral_risk]]+Table6[[#This Row],[structural_risk]]</f>
        <v>1.3</v>
      </c>
      <c r="H28" s="5">
        <f>Table6[[#This Row],[total_risk]]/$G$202</f>
        <v>0.8666666666666667</v>
      </c>
      <c r="I28" t="str">
        <f>IF(Table6[[#This Row],[total_risk_pct]]&gt;0.8%,"YES","NO")</f>
        <v>YES</v>
      </c>
      <c r="J28">
        <f>IF(Table6[[#This Row],[loan_amount]]&gt;70000,2,1)</f>
        <v>2</v>
      </c>
      <c r="K28">
        <f>Table6[[#This Row],[total_risk]]*Table6[[#This Row],[stress_multiplier]]</f>
        <v>2.6</v>
      </c>
      <c r="L28" s="5">
        <f>Table6[[#This Row],[stressed_total_risk]]/$K$202</f>
        <v>1.7333333333333334</v>
      </c>
      <c r="M28">
        <f>Table6[[#This Row],[stressed_total_risk]]-Table6[[#This Row],[total_risk]]</f>
        <v>1.3</v>
      </c>
      <c r="N28" t="str">
        <f>_xlfn.XLOOKUP(Table6[[#This Row],[loan_id]],[1]!Loans[loan_id],[1]!Loans[loan_size_band])</f>
        <v>Large</v>
      </c>
      <c r="O28" s="4">
        <f>Table6[[#This Row],[total_paid]]/Table6[[#This Row],[total_due]]</f>
        <v>0.16943521594684385</v>
      </c>
    </row>
    <row r="29" spans="1:15" x14ac:dyDescent="0.25">
      <c r="A29" t="s">
        <v>42</v>
      </c>
      <c r="B29">
        <f>_xlfn.XLOOKUP(Table6[[#This Row],[loan_id]],[1]!Loans[loan_id],[1]!Loans[loan_amount])</f>
        <v>110000</v>
      </c>
      <c r="C29" s="4">
        <f>(Table6[[#This Row],[loan_amount]]*(1+0.02/6))</f>
        <v>110366.66666666667</v>
      </c>
      <c r="D29">
        <f>_xlfn.XLOOKUP(Table6[[#This Row],[loan_id]],[1]!Repayment[loan_id],[1]!Repayment[amount_paid])</f>
        <v>18700</v>
      </c>
      <c r="E29">
        <v>0.5</v>
      </c>
      <c r="F29">
        <f>_xlfn.XLOOKUP(Table6[[#This Row],[loan_id]],[1]!Loans[loan_id],[1]!Loans[structural_risk])</f>
        <v>0.8</v>
      </c>
      <c r="G29">
        <f>Table6[[#This Row],[behavioral_risk]]+Table6[[#This Row],[structural_risk]]</f>
        <v>1.3</v>
      </c>
      <c r="H29" s="5">
        <f>Table6[[#This Row],[total_risk]]/$G$202</f>
        <v>0.8666666666666667</v>
      </c>
      <c r="I29" t="str">
        <f>IF(Table6[[#This Row],[total_risk_pct]]&gt;0.8%,"YES","NO")</f>
        <v>YES</v>
      </c>
      <c r="J29">
        <f>IF(Table6[[#This Row],[loan_amount]]&gt;70000,2,1)</f>
        <v>2</v>
      </c>
      <c r="K29">
        <f>Table6[[#This Row],[total_risk]]*Table6[[#This Row],[stress_multiplier]]</f>
        <v>2.6</v>
      </c>
      <c r="L29" s="5">
        <f>Table6[[#This Row],[stressed_total_risk]]/$K$202</f>
        <v>1.7333333333333334</v>
      </c>
      <c r="M29">
        <f>Table6[[#This Row],[stressed_total_risk]]-Table6[[#This Row],[total_risk]]</f>
        <v>1.3</v>
      </c>
      <c r="N29" t="str">
        <f>_xlfn.XLOOKUP(Table6[[#This Row],[loan_id]],[1]!Loans[loan_id],[1]!Loans[loan_size_band])</f>
        <v>Large</v>
      </c>
      <c r="O29" s="4">
        <f>Table6[[#This Row],[total_paid]]/Table6[[#This Row],[total_due]]</f>
        <v>0.16943521594684385</v>
      </c>
    </row>
    <row r="30" spans="1:15" x14ac:dyDescent="0.25">
      <c r="A30" t="s">
        <v>43</v>
      </c>
      <c r="B30">
        <f>_xlfn.XLOOKUP(Table6[[#This Row],[loan_id]],[1]!Loans[loan_id],[1]!Loans[loan_amount])</f>
        <v>90000</v>
      </c>
      <c r="C30" s="4">
        <f>(Table6[[#This Row],[loan_amount]]*(1+0.02/6))</f>
        <v>90300</v>
      </c>
      <c r="D30">
        <f>_xlfn.XLOOKUP(Table6[[#This Row],[loan_id]],[1]!Repayment[loan_id],[1]!Repayment[amount_paid])</f>
        <v>15300</v>
      </c>
      <c r="E30">
        <v>0.5</v>
      </c>
      <c r="F30">
        <f>_xlfn.XLOOKUP(Table6[[#This Row],[loan_id]],[1]!Loans[loan_id],[1]!Loans[structural_risk])</f>
        <v>0.8</v>
      </c>
      <c r="G30">
        <f>Table6[[#This Row],[behavioral_risk]]+Table6[[#This Row],[structural_risk]]</f>
        <v>1.3</v>
      </c>
      <c r="H30" s="5">
        <f>Table6[[#This Row],[total_risk]]/$G$202</f>
        <v>0.8666666666666667</v>
      </c>
      <c r="I30" t="str">
        <f>IF(Table6[[#This Row],[total_risk_pct]]&gt;0.8%,"YES","NO")</f>
        <v>YES</v>
      </c>
      <c r="J30">
        <f>IF(Table6[[#This Row],[loan_amount]]&gt;70000,2,1)</f>
        <v>2</v>
      </c>
      <c r="K30">
        <f>Table6[[#This Row],[total_risk]]*Table6[[#This Row],[stress_multiplier]]</f>
        <v>2.6</v>
      </c>
      <c r="L30" s="5">
        <f>Table6[[#This Row],[stressed_total_risk]]/$K$202</f>
        <v>1.7333333333333334</v>
      </c>
      <c r="M30">
        <f>Table6[[#This Row],[stressed_total_risk]]-Table6[[#This Row],[total_risk]]</f>
        <v>1.3</v>
      </c>
      <c r="N30" t="str">
        <f>_xlfn.XLOOKUP(Table6[[#This Row],[loan_id]],[1]!Loans[loan_id],[1]!Loans[loan_size_band])</f>
        <v>Large</v>
      </c>
      <c r="O30" s="4">
        <f>Table6[[#This Row],[total_paid]]/Table6[[#This Row],[total_due]]</f>
        <v>0.16943521594684385</v>
      </c>
    </row>
    <row r="31" spans="1:15" x14ac:dyDescent="0.25">
      <c r="A31" t="s">
        <v>44</v>
      </c>
      <c r="B31">
        <f>_xlfn.XLOOKUP(Table6[[#This Row],[loan_id]],[1]!Loans[loan_id],[1]!Loans[loan_amount])</f>
        <v>120000</v>
      </c>
      <c r="C31" s="4">
        <f>(Table6[[#This Row],[loan_amount]]*(1+0.02/6))</f>
        <v>120400.00000000001</v>
      </c>
      <c r="D31">
        <f>_xlfn.XLOOKUP(Table6[[#This Row],[loan_id]],[1]!Repayment[loan_id],[1]!Repayment[amount_paid])</f>
        <v>20400</v>
      </c>
      <c r="E31">
        <v>0.5</v>
      </c>
      <c r="F31">
        <f>_xlfn.XLOOKUP(Table6[[#This Row],[loan_id]],[1]!Loans[loan_id],[1]!Loans[structural_risk])</f>
        <v>0.8</v>
      </c>
      <c r="G31">
        <f>Table6[[#This Row],[behavioral_risk]]+Table6[[#This Row],[structural_risk]]</f>
        <v>1.3</v>
      </c>
      <c r="H31" s="5">
        <f>Table6[[#This Row],[total_risk]]/$G$202</f>
        <v>0.8666666666666667</v>
      </c>
      <c r="I31" t="str">
        <f>IF(Table6[[#This Row],[total_risk_pct]]&gt;0.8%,"YES","NO")</f>
        <v>YES</v>
      </c>
      <c r="J31">
        <f>IF(Table6[[#This Row],[loan_amount]]&gt;70000,2,1)</f>
        <v>2</v>
      </c>
      <c r="K31">
        <f>Table6[[#This Row],[total_risk]]*Table6[[#This Row],[stress_multiplier]]</f>
        <v>2.6</v>
      </c>
      <c r="L31" s="5">
        <f>Table6[[#This Row],[stressed_total_risk]]/$K$202</f>
        <v>1.7333333333333334</v>
      </c>
      <c r="M31">
        <f>Table6[[#This Row],[stressed_total_risk]]-Table6[[#This Row],[total_risk]]</f>
        <v>1.3</v>
      </c>
      <c r="N31" t="str">
        <f>_xlfn.XLOOKUP(Table6[[#This Row],[loan_id]],[1]!Loans[loan_id],[1]!Loans[loan_size_band])</f>
        <v>Large</v>
      </c>
      <c r="O31" s="4">
        <f>Table6[[#This Row],[total_paid]]/Table6[[#This Row],[total_due]]</f>
        <v>0.16943521594684383</v>
      </c>
    </row>
    <row r="32" spans="1:15" x14ac:dyDescent="0.25">
      <c r="A32" t="s">
        <v>45</v>
      </c>
      <c r="B32">
        <f>_xlfn.XLOOKUP(Table6[[#This Row],[loan_id]],[1]!Loans[loan_id],[1]!Loans[loan_amount])</f>
        <v>310000</v>
      </c>
      <c r="C32" s="4">
        <f>(Table6[[#This Row],[loan_amount]]*(1+0.02/6))</f>
        <v>311033.33333333337</v>
      </c>
      <c r="D32">
        <f>_xlfn.XLOOKUP(Table6[[#This Row],[loan_id]],[1]!Repayment[loan_id],[1]!Repayment[amount_paid])</f>
        <v>52700</v>
      </c>
      <c r="E32">
        <v>0.5</v>
      </c>
      <c r="F32">
        <f>_xlfn.XLOOKUP(Table6[[#This Row],[loan_id]],[1]!Loans[loan_id],[1]!Loans[structural_risk])</f>
        <v>0.8</v>
      </c>
      <c r="G32">
        <f>Table6[[#This Row],[behavioral_risk]]+Table6[[#This Row],[structural_risk]]</f>
        <v>1.3</v>
      </c>
      <c r="H32" s="5">
        <f>Table6[[#This Row],[total_risk]]/$G$202</f>
        <v>0.8666666666666667</v>
      </c>
      <c r="I32" t="str">
        <f>IF(Table6[[#This Row],[total_risk_pct]]&gt;0.8%,"YES","NO")</f>
        <v>YES</v>
      </c>
      <c r="J32">
        <f>IF(Table6[[#This Row],[loan_amount]]&gt;70000,2,1)</f>
        <v>2</v>
      </c>
      <c r="K32">
        <f>Table6[[#This Row],[total_risk]]*Table6[[#This Row],[stress_multiplier]]</f>
        <v>2.6</v>
      </c>
      <c r="L32" s="5">
        <f>Table6[[#This Row],[stressed_total_risk]]/$K$202</f>
        <v>1.7333333333333334</v>
      </c>
      <c r="M32">
        <f>Table6[[#This Row],[stressed_total_risk]]-Table6[[#This Row],[total_risk]]</f>
        <v>1.3</v>
      </c>
      <c r="N32" t="str">
        <f>_xlfn.XLOOKUP(Table6[[#This Row],[loan_id]],[1]!Loans[loan_id],[1]!Loans[loan_size_band])</f>
        <v>Large</v>
      </c>
      <c r="O32" s="4">
        <f>Table6[[#This Row],[total_paid]]/Table6[[#This Row],[total_due]]</f>
        <v>0.16943521594684383</v>
      </c>
    </row>
    <row r="33" spans="1:15" x14ac:dyDescent="0.25">
      <c r="A33" t="s">
        <v>46</v>
      </c>
      <c r="B33">
        <f>_xlfn.XLOOKUP(Table6[[#This Row],[loan_id]],[1]!Loans[loan_id],[1]!Loans[loan_amount])</f>
        <v>450000</v>
      </c>
      <c r="C33" s="4">
        <f>(Table6[[#This Row],[loan_amount]]*(1+0.02/6))</f>
        <v>451500.00000000006</v>
      </c>
      <c r="D33">
        <f>_xlfn.XLOOKUP(Table6[[#This Row],[loan_id]],[1]!Repayment[loan_id],[1]!Repayment[amount_paid])</f>
        <v>76500</v>
      </c>
      <c r="E33">
        <v>0.5</v>
      </c>
      <c r="F33">
        <f>_xlfn.XLOOKUP(Table6[[#This Row],[loan_id]],[1]!Loans[loan_id],[1]!Loans[structural_risk])</f>
        <v>0.8</v>
      </c>
      <c r="G33">
        <f>Table6[[#This Row],[behavioral_risk]]+Table6[[#This Row],[structural_risk]]</f>
        <v>1.3</v>
      </c>
      <c r="H33" s="5">
        <f>Table6[[#This Row],[total_risk]]/$G$202</f>
        <v>0.8666666666666667</v>
      </c>
      <c r="I33" t="str">
        <f>IF(Table6[[#This Row],[total_risk_pct]]&gt;0.8%,"YES","NO")</f>
        <v>YES</v>
      </c>
      <c r="J33">
        <f>IF(Table6[[#This Row],[loan_amount]]&gt;70000,2,1)</f>
        <v>2</v>
      </c>
      <c r="K33">
        <f>Table6[[#This Row],[total_risk]]*Table6[[#This Row],[stress_multiplier]]</f>
        <v>2.6</v>
      </c>
      <c r="L33" s="5">
        <f>Table6[[#This Row],[stressed_total_risk]]/$K$202</f>
        <v>1.7333333333333334</v>
      </c>
      <c r="M33">
        <f>Table6[[#This Row],[stressed_total_risk]]-Table6[[#This Row],[total_risk]]</f>
        <v>1.3</v>
      </c>
      <c r="N33" t="str">
        <f>_xlfn.XLOOKUP(Table6[[#This Row],[loan_id]],[1]!Loans[loan_id],[1]!Loans[loan_size_band])</f>
        <v>Large</v>
      </c>
      <c r="O33" s="4">
        <f>Table6[[#This Row],[total_paid]]/Table6[[#This Row],[total_due]]</f>
        <v>0.16943521594684383</v>
      </c>
    </row>
    <row r="34" spans="1:15" x14ac:dyDescent="0.25">
      <c r="A34" t="s">
        <v>47</v>
      </c>
      <c r="B34">
        <f>_xlfn.XLOOKUP(Table6[[#This Row],[loan_id]],[1]!Loans[loan_id],[1]!Loans[loan_amount])</f>
        <v>250000</v>
      </c>
      <c r="C34" s="4">
        <f>(Table6[[#This Row],[loan_amount]]*(1+0.02/6))</f>
        <v>250833.33333333334</v>
      </c>
      <c r="D34">
        <f>_xlfn.XLOOKUP(Table6[[#This Row],[loan_id]],[1]!Repayment[loan_id],[1]!Repayment[amount_paid])</f>
        <v>42500</v>
      </c>
      <c r="E34">
        <v>0.5</v>
      </c>
      <c r="F34">
        <f>_xlfn.XLOOKUP(Table6[[#This Row],[loan_id]],[1]!Loans[loan_id],[1]!Loans[structural_risk])</f>
        <v>0.8</v>
      </c>
      <c r="G34">
        <f>Table6[[#This Row],[behavioral_risk]]+Table6[[#This Row],[structural_risk]]</f>
        <v>1.3</v>
      </c>
      <c r="H34" s="5">
        <f>Table6[[#This Row],[total_risk]]/$G$202</f>
        <v>0.8666666666666667</v>
      </c>
      <c r="I34" t="str">
        <f>IF(Table6[[#This Row],[total_risk_pct]]&gt;0.8%,"YES","NO")</f>
        <v>YES</v>
      </c>
      <c r="J34">
        <f>IF(Table6[[#This Row],[loan_amount]]&gt;70000,2,1)</f>
        <v>2</v>
      </c>
      <c r="K34">
        <f>Table6[[#This Row],[total_risk]]*Table6[[#This Row],[stress_multiplier]]</f>
        <v>2.6</v>
      </c>
      <c r="L34" s="5">
        <f>Table6[[#This Row],[stressed_total_risk]]/$K$202</f>
        <v>1.7333333333333334</v>
      </c>
      <c r="M34">
        <f>Table6[[#This Row],[stressed_total_risk]]-Table6[[#This Row],[total_risk]]</f>
        <v>1.3</v>
      </c>
      <c r="N34" t="str">
        <f>_xlfn.XLOOKUP(Table6[[#This Row],[loan_id]],[1]!Loans[loan_id],[1]!Loans[loan_size_band])</f>
        <v>Large</v>
      </c>
      <c r="O34" s="4">
        <f>Table6[[#This Row],[total_paid]]/Table6[[#This Row],[total_due]]</f>
        <v>0.16943521594684385</v>
      </c>
    </row>
    <row r="35" spans="1:15" x14ac:dyDescent="0.25">
      <c r="A35" t="s">
        <v>48</v>
      </c>
      <c r="B35">
        <f>_xlfn.XLOOKUP(Table6[[#This Row],[loan_id]],[1]!Loans[loan_id],[1]!Loans[loan_amount])</f>
        <v>150000</v>
      </c>
      <c r="C35" s="4">
        <f>(Table6[[#This Row],[loan_amount]]*(1+0.02/6))</f>
        <v>150500</v>
      </c>
      <c r="D35">
        <f>_xlfn.XLOOKUP(Table6[[#This Row],[loan_id]],[1]!Repayment[loan_id],[1]!Repayment[amount_paid])</f>
        <v>25500</v>
      </c>
      <c r="E35">
        <v>0.5</v>
      </c>
      <c r="F35">
        <f>_xlfn.XLOOKUP(Table6[[#This Row],[loan_id]],[1]!Loans[loan_id],[1]!Loans[structural_risk])</f>
        <v>0.8</v>
      </c>
      <c r="G35">
        <f>Table6[[#This Row],[behavioral_risk]]+Table6[[#This Row],[structural_risk]]</f>
        <v>1.3</v>
      </c>
      <c r="H35" s="5">
        <f>Table6[[#This Row],[total_risk]]/$G$202</f>
        <v>0.8666666666666667</v>
      </c>
      <c r="I35" t="str">
        <f>IF(Table6[[#This Row],[total_risk_pct]]&gt;0.8%,"YES","NO")</f>
        <v>YES</v>
      </c>
      <c r="J35">
        <f>IF(Table6[[#This Row],[loan_amount]]&gt;70000,2,1)</f>
        <v>2</v>
      </c>
      <c r="K35">
        <f>Table6[[#This Row],[total_risk]]*Table6[[#This Row],[stress_multiplier]]</f>
        <v>2.6</v>
      </c>
      <c r="L35" s="5">
        <f>Table6[[#This Row],[stressed_total_risk]]/$K$202</f>
        <v>1.7333333333333334</v>
      </c>
      <c r="M35">
        <f>Table6[[#This Row],[stressed_total_risk]]-Table6[[#This Row],[total_risk]]</f>
        <v>1.3</v>
      </c>
      <c r="N35" t="str">
        <f>_xlfn.XLOOKUP(Table6[[#This Row],[loan_id]],[1]!Loans[loan_id],[1]!Loans[loan_size_band])</f>
        <v>Large</v>
      </c>
      <c r="O35" s="4">
        <f>Table6[[#This Row],[total_paid]]/Table6[[#This Row],[total_due]]</f>
        <v>0.16943521594684385</v>
      </c>
    </row>
    <row r="36" spans="1:15" x14ac:dyDescent="0.25">
      <c r="A36" t="s">
        <v>49</v>
      </c>
      <c r="B36">
        <f>_xlfn.XLOOKUP(Table6[[#This Row],[loan_id]],[1]!Loans[loan_id],[1]!Loans[loan_amount])</f>
        <v>340000</v>
      </c>
      <c r="C36" s="4">
        <f>(Table6[[#This Row],[loan_amount]]*(1+0.02/6))</f>
        <v>341133.33333333337</v>
      </c>
      <c r="D36">
        <f>_xlfn.XLOOKUP(Table6[[#This Row],[loan_id]],[1]!Repayment[loan_id],[1]!Repayment[amount_paid])</f>
        <v>57800</v>
      </c>
      <c r="E36">
        <v>0.5</v>
      </c>
      <c r="F36">
        <f>_xlfn.XLOOKUP(Table6[[#This Row],[loan_id]],[1]!Loans[loan_id],[1]!Loans[structural_risk])</f>
        <v>0.8</v>
      </c>
      <c r="G36">
        <f>Table6[[#This Row],[behavioral_risk]]+Table6[[#This Row],[structural_risk]]</f>
        <v>1.3</v>
      </c>
      <c r="H36" s="5">
        <f>Table6[[#This Row],[total_risk]]/$G$202</f>
        <v>0.8666666666666667</v>
      </c>
      <c r="I36" t="str">
        <f>IF(Table6[[#This Row],[total_risk_pct]]&gt;0.8%,"YES","NO")</f>
        <v>YES</v>
      </c>
      <c r="J36">
        <f>IF(Table6[[#This Row],[loan_amount]]&gt;70000,2,1)</f>
        <v>2</v>
      </c>
      <c r="K36">
        <f>Table6[[#This Row],[total_risk]]*Table6[[#This Row],[stress_multiplier]]</f>
        <v>2.6</v>
      </c>
      <c r="L36" s="5">
        <f>Table6[[#This Row],[stressed_total_risk]]/$K$202</f>
        <v>1.7333333333333334</v>
      </c>
      <c r="M36">
        <f>Table6[[#This Row],[stressed_total_risk]]-Table6[[#This Row],[total_risk]]</f>
        <v>1.3</v>
      </c>
      <c r="N36" t="str">
        <f>_xlfn.XLOOKUP(Table6[[#This Row],[loan_id]],[1]!Loans[loan_id],[1]!Loans[loan_size_band])</f>
        <v>Large</v>
      </c>
      <c r="O36" s="4">
        <f>Table6[[#This Row],[total_paid]]/Table6[[#This Row],[total_due]]</f>
        <v>0.16943521594684383</v>
      </c>
    </row>
    <row r="37" spans="1:15" x14ac:dyDescent="0.25">
      <c r="A37" t="s">
        <v>50</v>
      </c>
      <c r="B37">
        <f>_xlfn.XLOOKUP(Table6[[#This Row],[loan_id]],[1]!Loans[loan_id],[1]!Loans[loan_amount])</f>
        <v>80000</v>
      </c>
      <c r="C37" s="4">
        <f>(Table6[[#This Row],[loan_amount]]*(1+0.02/6))</f>
        <v>80266.666666666672</v>
      </c>
      <c r="D37">
        <f>_xlfn.XLOOKUP(Table6[[#This Row],[loan_id]],[1]!Repayment[loan_id],[1]!Repayment[amount_paid])</f>
        <v>13600</v>
      </c>
      <c r="E37">
        <v>0.5</v>
      </c>
      <c r="F37">
        <f>_xlfn.XLOOKUP(Table6[[#This Row],[loan_id]],[1]!Loans[loan_id],[1]!Loans[structural_risk])</f>
        <v>0.8</v>
      </c>
      <c r="G37">
        <f>Table6[[#This Row],[behavioral_risk]]+Table6[[#This Row],[structural_risk]]</f>
        <v>1.3</v>
      </c>
      <c r="H37" s="5">
        <f>Table6[[#This Row],[total_risk]]/$G$202</f>
        <v>0.8666666666666667</v>
      </c>
      <c r="I37" t="str">
        <f>IF(Table6[[#This Row],[total_risk_pct]]&gt;0.8%,"YES","NO")</f>
        <v>YES</v>
      </c>
      <c r="J37">
        <f>IF(Table6[[#This Row],[loan_amount]]&gt;70000,2,1)</f>
        <v>2</v>
      </c>
      <c r="K37">
        <f>Table6[[#This Row],[total_risk]]*Table6[[#This Row],[stress_multiplier]]</f>
        <v>2.6</v>
      </c>
      <c r="L37" s="5">
        <f>Table6[[#This Row],[stressed_total_risk]]/$K$202</f>
        <v>1.7333333333333334</v>
      </c>
      <c r="M37">
        <f>Table6[[#This Row],[stressed_total_risk]]-Table6[[#This Row],[total_risk]]</f>
        <v>1.3</v>
      </c>
      <c r="N37" t="str">
        <f>_xlfn.XLOOKUP(Table6[[#This Row],[loan_id]],[1]!Loans[loan_id],[1]!Loans[loan_size_band])</f>
        <v>Large</v>
      </c>
      <c r="O37" s="4">
        <f>Table6[[#This Row],[total_paid]]/Table6[[#This Row],[total_due]]</f>
        <v>0.16943521594684385</v>
      </c>
    </row>
    <row r="38" spans="1:15" x14ac:dyDescent="0.25">
      <c r="A38" t="s">
        <v>51</v>
      </c>
      <c r="B38">
        <f>_xlfn.XLOOKUP(Table6[[#This Row],[loan_id]],[1]!Loans[loan_id],[1]!Loans[loan_amount])</f>
        <v>370000</v>
      </c>
      <c r="C38" s="4">
        <f>(Table6[[#This Row],[loan_amount]]*(1+0.02/6))</f>
        <v>371233.33333333337</v>
      </c>
      <c r="D38">
        <f>_xlfn.XLOOKUP(Table6[[#This Row],[loan_id]],[1]!Repayment[loan_id],[1]!Repayment[amount_paid])</f>
        <v>62900</v>
      </c>
      <c r="E38">
        <v>0.5</v>
      </c>
      <c r="F38">
        <f>_xlfn.XLOOKUP(Table6[[#This Row],[loan_id]],[1]!Loans[loan_id],[1]!Loans[structural_risk])</f>
        <v>0.8</v>
      </c>
      <c r="G38">
        <f>Table6[[#This Row],[behavioral_risk]]+Table6[[#This Row],[structural_risk]]</f>
        <v>1.3</v>
      </c>
      <c r="H38" s="5">
        <f>Table6[[#This Row],[total_risk]]/$G$202</f>
        <v>0.8666666666666667</v>
      </c>
      <c r="I38" t="str">
        <f>IF(Table6[[#This Row],[total_risk_pct]]&gt;0.8%,"YES","NO")</f>
        <v>YES</v>
      </c>
      <c r="J38">
        <f>IF(Table6[[#This Row],[loan_amount]]&gt;70000,2,1)</f>
        <v>2</v>
      </c>
      <c r="K38">
        <f>Table6[[#This Row],[total_risk]]*Table6[[#This Row],[stress_multiplier]]</f>
        <v>2.6</v>
      </c>
      <c r="L38" s="5">
        <f>Table6[[#This Row],[stressed_total_risk]]/$K$202</f>
        <v>1.7333333333333334</v>
      </c>
      <c r="M38">
        <f>Table6[[#This Row],[stressed_total_risk]]-Table6[[#This Row],[total_risk]]</f>
        <v>1.3</v>
      </c>
      <c r="N38" t="str">
        <f>_xlfn.XLOOKUP(Table6[[#This Row],[loan_id]],[1]!Loans[loan_id],[1]!Loans[loan_size_band])</f>
        <v>Large</v>
      </c>
      <c r="O38" s="4">
        <f>Table6[[#This Row],[total_paid]]/Table6[[#This Row],[total_due]]</f>
        <v>0.16943521594684383</v>
      </c>
    </row>
    <row r="39" spans="1:15" x14ac:dyDescent="0.25">
      <c r="A39" t="s">
        <v>52</v>
      </c>
      <c r="B39">
        <f>_xlfn.XLOOKUP(Table6[[#This Row],[loan_id]],[1]!Loans[loan_id],[1]!Loans[loan_amount])</f>
        <v>290000</v>
      </c>
      <c r="C39" s="4">
        <f>(Table6[[#This Row],[loan_amount]]*(1+0.02/6))</f>
        <v>290966.66666666669</v>
      </c>
      <c r="D39">
        <f>_xlfn.XLOOKUP(Table6[[#This Row],[loan_id]],[1]!Repayment[loan_id],[1]!Repayment[amount_paid])</f>
        <v>49300</v>
      </c>
      <c r="E39">
        <v>0.5</v>
      </c>
      <c r="F39">
        <f>_xlfn.XLOOKUP(Table6[[#This Row],[loan_id]],[1]!Loans[loan_id],[1]!Loans[structural_risk])</f>
        <v>0.8</v>
      </c>
      <c r="G39">
        <f>Table6[[#This Row],[behavioral_risk]]+Table6[[#This Row],[structural_risk]]</f>
        <v>1.3</v>
      </c>
      <c r="H39" s="5">
        <f>Table6[[#This Row],[total_risk]]/$G$202</f>
        <v>0.8666666666666667</v>
      </c>
      <c r="I39" t="str">
        <f>IF(Table6[[#This Row],[total_risk_pct]]&gt;0.8%,"YES","NO")</f>
        <v>YES</v>
      </c>
      <c r="J39">
        <f>IF(Table6[[#This Row],[loan_amount]]&gt;70000,2,1)</f>
        <v>2</v>
      </c>
      <c r="K39">
        <f>Table6[[#This Row],[total_risk]]*Table6[[#This Row],[stress_multiplier]]</f>
        <v>2.6</v>
      </c>
      <c r="L39" s="5">
        <f>Table6[[#This Row],[stressed_total_risk]]/$K$202</f>
        <v>1.7333333333333334</v>
      </c>
      <c r="M39">
        <f>Table6[[#This Row],[stressed_total_risk]]-Table6[[#This Row],[total_risk]]</f>
        <v>1.3</v>
      </c>
      <c r="N39" t="str">
        <f>_xlfn.XLOOKUP(Table6[[#This Row],[loan_id]],[1]!Loans[loan_id],[1]!Loans[loan_size_band])</f>
        <v>Large</v>
      </c>
      <c r="O39" s="4">
        <f>Table6[[#This Row],[total_paid]]/Table6[[#This Row],[total_due]]</f>
        <v>0.16943521594684385</v>
      </c>
    </row>
    <row r="40" spans="1:15" x14ac:dyDescent="0.25">
      <c r="A40" t="s">
        <v>53</v>
      </c>
      <c r="B40">
        <f>_xlfn.XLOOKUP(Table6[[#This Row],[loan_id]],[1]!Loans[loan_id],[1]!Loans[loan_amount])</f>
        <v>110000</v>
      </c>
      <c r="C40" s="4">
        <f>(Table6[[#This Row],[loan_amount]]*(1+0.02/6))</f>
        <v>110366.66666666667</v>
      </c>
      <c r="D40">
        <f>_xlfn.XLOOKUP(Table6[[#This Row],[loan_id]],[1]!Repayment[loan_id],[1]!Repayment[amount_paid])</f>
        <v>18700</v>
      </c>
      <c r="E40">
        <v>0.5</v>
      </c>
      <c r="F40">
        <f>_xlfn.XLOOKUP(Table6[[#This Row],[loan_id]],[1]!Loans[loan_id],[1]!Loans[structural_risk])</f>
        <v>0.8</v>
      </c>
      <c r="G40">
        <f>Table6[[#This Row],[behavioral_risk]]+Table6[[#This Row],[structural_risk]]</f>
        <v>1.3</v>
      </c>
      <c r="H40" s="5">
        <f>Table6[[#This Row],[total_risk]]/$G$202</f>
        <v>0.8666666666666667</v>
      </c>
      <c r="I40" t="str">
        <f>IF(Table6[[#This Row],[total_risk_pct]]&gt;0.8%,"YES","NO")</f>
        <v>YES</v>
      </c>
      <c r="J40">
        <f>IF(Table6[[#This Row],[loan_amount]]&gt;70000,2,1)</f>
        <v>2</v>
      </c>
      <c r="K40">
        <f>Table6[[#This Row],[total_risk]]*Table6[[#This Row],[stress_multiplier]]</f>
        <v>2.6</v>
      </c>
      <c r="L40" s="5">
        <f>Table6[[#This Row],[stressed_total_risk]]/$K$202</f>
        <v>1.7333333333333334</v>
      </c>
      <c r="M40">
        <f>Table6[[#This Row],[stressed_total_risk]]-Table6[[#This Row],[total_risk]]</f>
        <v>1.3</v>
      </c>
      <c r="N40" t="str">
        <f>_xlfn.XLOOKUP(Table6[[#This Row],[loan_id]],[1]!Loans[loan_id],[1]!Loans[loan_size_band])</f>
        <v>Large</v>
      </c>
      <c r="O40" s="4">
        <f>Table6[[#This Row],[total_paid]]/Table6[[#This Row],[total_due]]</f>
        <v>0.16943521594684385</v>
      </c>
    </row>
    <row r="41" spans="1:15" x14ac:dyDescent="0.25">
      <c r="A41" t="s">
        <v>54</v>
      </c>
      <c r="B41">
        <f>_xlfn.XLOOKUP(Table6[[#This Row],[loan_id]],[1]!Loans[loan_id],[1]!Loans[loan_amount])</f>
        <v>300000</v>
      </c>
      <c r="C41" s="4">
        <f>(Table6[[#This Row],[loan_amount]]*(1+0.02/6))</f>
        <v>301000</v>
      </c>
      <c r="D41">
        <f>_xlfn.XLOOKUP(Table6[[#This Row],[loan_id]],[1]!Repayment[loan_id],[1]!Repayment[amount_paid])</f>
        <v>51000</v>
      </c>
      <c r="E41">
        <v>0.5</v>
      </c>
      <c r="F41">
        <f>_xlfn.XLOOKUP(Table6[[#This Row],[loan_id]],[1]!Loans[loan_id],[1]!Loans[structural_risk])</f>
        <v>0.8</v>
      </c>
      <c r="G41">
        <f>Table6[[#This Row],[behavioral_risk]]+Table6[[#This Row],[structural_risk]]</f>
        <v>1.3</v>
      </c>
      <c r="H41" s="5">
        <f>Table6[[#This Row],[total_risk]]/$G$202</f>
        <v>0.8666666666666667</v>
      </c>
      <c r="I41" t="str">
        <f>IF(Table6[[#This Row],[total_risk_pct]]&gt;0.8%,"YES","NO")</f>
        <v>YES</v>
      </c>
      <c r="J41">
        <f>IF(Table6[[#This Row],[loan_amount]]&gt;70000,2,1)</f>
        <v>2</v>
      </c>
      <c r="K41">
        <f>Table6[[#This Row],[total_risk]]*Table6[[#This Row],[stress_multiplier]]</f>
        <v>2.6</v>
      </c>
      <c r="L41" s="5">
        <f>Table6[[#This Row],[stressed_total_risk]]/$K$202</f>
        <v>1.7333333333333334</v>
      </c>
      <c r="M41">
        <f>Table6[[#This Row],[stressed_total_risk]]-Table6[[#This Row],[total_risk]]</f>
        <v>1.3</v>
      </c>
      <c r="N41" t="str">
        <f>_xlfn.XLOOKUP(Table6[[#This Row],[loan_id]],[1]!Loans[loan_id],[1]!Loans[loan_size_band])</f>
        <v>Large</v>
      </c>
      <c r="O41" s="4">
        <f>Table6[[#This Row],[total_paid]]/Table6[[#This Row],[total_due]]</f>
        <v>0.16943521594684385</v>
      </c>
    </row>
    <row r="42" spans="1:15" x14ac:dyDescent="0.25">
      <c r="A42" t="s">
        <v>55</v>
      </c>
      <c r="B42">
        <f>_xlfn.XLOOKUP(Table6[[#This Row],[loan_id]],[1]!Loans[loan_id],[1]!Loans[loan_amount])</f>
        <v>160000</v>
      </c>
      <c r="C42" s="4">
        <f>(Table6[[#This Row],[loan_amount]]*(1+0.02/6))</f>
        <v>160533.33333333334</v>
      </c>
      <c r="D42">
        <f>_xlfn.XLOOKUP(Table6[[#This Row],[loan_id]],[1]!Repayment[loan_id],[1]!Repayment[amount_paid])</f>
        <v>27200</v>
      </c>
      <c r="E42">
        <v>0.5</v>
      </c>
      <c r="F42">
        <f>_xlfn.XLOOKUP(Table6[[#This Row],[loan_id]],[1]!Loans[loan_id],[1]!Loans[structural_risk])</f>
        <v>0.8</v>
      </c>
      <c r="G42">
        <f>Table6[[#This Row],[behavioral_risk]]+Table6[[#This Row],[structural_risk]]</f>
        <v>1.3</v>
      </c>
      <c r="H42" s="5">
        <f>Table6[[#This Row],[total_risk]]/$G$202</f>
        <v>0.8666666666666667</v>
      </c>
      <c r="I42" t="str">
        <f>IF(Table6[[#This Row],[total_risk_pct]]&gt;0.8%,"YES","NO")</f>
        <v>YES</v>
      </c>
      <c r="J42">
        <f>IF(Table6[[#This Row],[loan_amount]]&gt;70000,2,1)</f>
        <v>2</v>
      </c>
      <c r="K42">
        <f>Table6[[#This Row],[total_risk]]*Table6[[#This Row],[stress_multiplier]]</f>
        <v>2.6</v>
      </c>
      <c r="L42" s="5">
        <f>Table6[[#This Row],[stressed_total_risk]]/$K$202</f>
        <v>1.7333333333333334</v>
      </c>
      <c r="M42">
        <f>Table6[[#This Row],[stressed_total_risk]]-Table6[[#This Row],[total_risk]]</f>
        <v>1.3</v>
      </c>
      <c r="N42" t="str">
        <f>_xlfn.XLOOKUP(Table6[[#This Row],[loan_id]],[1]!Loans[loan_id],[1]!Loans[loan_size_band])</f>
        <v>Large</v>
      </c>
      <c r="O42" s="4">
        <f>Table6[[#This Row],[total_paid]]/Table6[[#This Row],[total_due]]</f>
        <v>0.16943521594684385</v>
      </c>
    </row>
    <row r="43" spans="1:15" x14ac:dyDescent="0.25">
      <c r="A43" t="s">
        <v>56</v>
      </c>
      <c r="B43">
        <f>_xlfn.XLOOKUP(Table6[[#This Row],[loan_id]],[1]!Loans[loan_id],[1]!Loans[loan_amount])</f>
        <v>200000</v>
      </c>
      <c r="C43" s="4">
        <f>(Table6[[#This Row],[loan_amount]]*(1+0.02/6))</f>
        <v>200666.66666666669</v>
      </c>
      <c r="D43">
        <f>_xlfn.XLOOKUP(Table6[[#This Row],[loan_id]],[1]!Repayment[loan_id],[1]!Repayment[amount_paid])</f>
        <v>34000</v>
      </c>
      <c r="E43">
        <v>0.5</v>
      </c>
      <c r="F43">
        <f>_xlfn.XLOOKUP(Table6[[#This Row],[loan_id]],[1]!Loans[loan_id],[1]!Loans[structural_risk])</f>
        <v>0.8</v>
      </c>
      <c r="G43">
        <f>Table6[[#This Row],[behavioral_risk]]+Table6[[#This Row],[structural_risk]]</f>
        <v>1.3</v>
      </c>
      <c r="H43" s="5">
        <f>Table6[[#This Row],[total_risk]]/$G$202</f>
        <v>0.8666666666666667</v>
      </c>
      <c r="I43" t="str">
        <f>IF(Table6[[#This Row],[total_risk_pct]]&gt;0.8%,"YES","NO")</f>
        <v>YES</v>
      </c>
      <c r="J43">
        <f>IF(Table6[[#This Row],[loan_amount]]&gt;70000,2,1)</f>
        <v>2</v>
      </c>
      <c r="K43">
        <f>Table6[[#This Row],[total_risk]]*Table6[[#This Row],[stress_multiplier]]</f>
        <v>2.6</v>
      </c>
      <c r="L43" s="5">
        <f>Table6[[#This Row],[stressed_total_risk]]/$K$202</f>
        <v>1.7333333333333334</v>
      </c>
      <c r="M43">
        <f>Table6[[#This Row],[stressed_total_risk]]-Table6[[#This Row],[total_risk]]</f>
        <v>1.3</v>
      </c>
      <c r="N43" t="str">
        <f>_xlfn.XLOOKUP(Table6[[#This Row],[loan_id]],[1]!Loans[loan_id],[1]!Loans[loan_size_band])</f>
        <v>Large</v>
      </c>
      <c r="O43" s="4">
        <f>Table6[[#This Row],[total_paid]]/Table6[[#This Row],[total_due]]</f>
        <v>0.16943521594684383</v>
      </c>
    </row>
    <row r="44" spans="1:15" x14ac:dyDescent="0.25">
      <c r="A44" t="s">
        <v>57</v>
      </c>
      <c r="B44">
        <f>_xlfn.XLOOKUP(Table6[[#This Row],[loan_id]],[1]!Loans[loan_id],[1]!Loans[loan_amount])</f>
        <v>400000</v>
      </c>
      <c r="C44" s="4">
        <f>(Table6[[#This Row],[loan_amount]]*(1+0.02/6))</f>
        <v>401333.33333333337</v>
      </c>
      <c r="D44">
        <f>_xlfn.XLOOKUP(Table6[[#This Row],[loan_id]],[1]!Repayment[loan_id],[1]!Repayment[amount_paid])</f>
        <v>68000</v>
      </c>
      <c r="E44">
        <v>0.5</v>
      </c>
      <c r="F44">
        <f>_xlfn.XLOOKUP(Table6[[#This Row],[loan_id]],[1]!Loans[loan_id],[1]!Loans[structural_risk])</f>
        <v>0.8</v>
      </c>
      <c r="G44">
        <f>Table6[[#This Row],[behavioral_risk]]+Table6[[#This Row],[structural_risk]]</f>
        <v>1.3</v>
      </c>
      <c r="H44" s="5">
        <f>Table6[[#This Row],[total_risk]]/$G$202</f>
        <v>0.8666666666666667</v>
      </c>
      <c r="I44" t="str">
        <f>IF(Table6[[#This Row],[total_risk_pct]]&gt;0.8%,"YES","NO")</f>
        <v>YES</v>
      </c>
      <c r="J44">
        <f>IF(Table6[[#This Row],[loan_amount]]&gt;70000,2,1)</f>
        <v>2</v>
      </c>
      <c r="K44">
        <f>Table6[[#This Row],[total_risk]]*Table6[[#This Row],[stress_multiplier]]</f>
        <v>2.6</v>
      </c>
      <c r="L44" s="5">
        <f>Table6[[#This Row],[stressed_total_risk]]/$K$202</f>
        <v>1.7333333333333334</v>
      </c>
      <c r="M44">
        <f>Table6[[#This Row],[stressed_total_risk]]-Table6[[#This Row],[total_risk]]</f>
        <v>1.3</v>
      </c>
      <c r="N44" t="str">
        <f>_xlfn.XLOOKUP(Table6[[#This Row],[loan_id]],[1]!Loans[loan_id],[1]!Loans[loan_size_band])</f>
        <v>Large</v>
      </c>
      <c r="O44" s="4">
        <f>Table6[[#This Row],[total_paid]]/Table6[[#This Row],[total_due]]</f>
        <v>0.16943521594684383</v>
      </c>
    </row>
    <row r="45" spans="1:15" x14ac:dyDescent="0.25">
      <c r="A45" t="s">
        <v>58</v>
      </c>
      <c r="B45">
        <f>_xlfn.XLOOKUP(Table6[[#This Row],[loan_id]],[1]!Loans[loan_id],[1]!Loans[loan_amount])</f>
        <v>90000</v>
      </c>
      <c r="C45" s="4">
        <f>(Table6[[#This Row],[loan_amount]]*(1+0.02/6))</f>
        <v>90300</v>
      </c>
      <c r="D45">
        <f>_xlfn.XLOOKUP(Table6[[#This Row],[loan_id]],[1]!Repayment[loan_id],[1]!Repayment[amount_paid])</f>
        <v>15300</v>
      </c>
      <c r="E45">
        <v>0.5</v>
      </c>
      <c r="F45">
        <f>_xlfn.XLOOKUP(Table6[[#This Row],[loan_id]],[1]!Loans[loan_id],[1]!Loans[structural_risk])</f>
        <v>0.8</v>
      </c>
      <c r="G45">
        <f>Table6[[#This Row],[behavioral_risk]]+Table6[[#This Row],[structural_risk]]</f>
        <v>1.3</v>
      </c>
      <c r="H45" s="5">
        <f>Table6[[#This Row],[total_risk]]/$G$202</f>
        <v>0.8666666666666667</v>
      </c>
      <c r="I45" t="str">
        <f>IF(Table6[[#This Row],[total_risk_pct]]&gt;0.8%,"YES","NO")</f>
        <v>YES</v>
      </c>
      <c r="J45">
        <f>IF(Table6[[#This Row],[loan_amount]]&gt;70000,2,1)</f>
        <v>2</v>
      </c>
      <c r="K45">
        <f>Table6[[#This Row],[total_risk]]*Table6[[#This Row],[stress_multiplier]]</f>
        <v>2.6</v>
      </c>
      <c r="L45" s="5">
        <f>Table6[[#This Row],[stressed_total_risk]]/$K$202</f>
        <v>1.7333333333333334</v>
      </c>
      <c r="M45">
        <f>Table6[[#This Row],[stressed_total_risk]]-Table6[[#This Row],[total_risk]]</f>
        <v>1.3</v>
      </c>
      <c r="N45" t="str">
        <f>_xlfn.XLOOKUP(Table6[[#This Row],[loan_id]],[1]!Loans[loan_id],[1]!Loans[loan_size_band])</f>
        <v>Large</v>
      </c>
      <c r="O45" s="4">
        <f>Table6[[#This Row],[total_paid]]/Table6[[#This Row],[total_due]]</f>
        <v>0.16943521594684385</v>
      </c>
    </row>
    <row r="46" spans="1:15" x14ac:dyDescent="0.25">
      <c r="A46" t="s">
        <v>59</v>
      </c>
      <c r="B46">
        <f>_xlfn.XLOOKUP(Table6[[#This Row],[loan_id]],[1]!Loans[loan_id],[1]!Loans[loan_amount])</f>
        <v>490000</v>
      </c>
      <c r="C46" s="4">
        <f>(Table6[[#This Row],[loan_amount]]*(1+0.02/6))</f>
        <v>491633.33333333337</v>
      </c>
      <c r="D46">
        <f>_xlfn.XLOOKUP(Table6[[#This Row],[loan_id]],[1]!Repayment[loan_id],[1]!Repayment[amount_paid])</f>
        <v>83300</v>
      </c>
      <c r="E46">
        <v>0.5</v>
      </c>
      <c r="F46">
        <f>_xlfn.XLOOKUP(Table6[[#This Row],[loan_id]],[1]!Loans[loan_id],[1]!Loans[structural_risk])</f>
        <v>0.8</v>
      </c>
      <c r="G46">
        <f>Table6[[#This Row],[behavioral_risk]]+Table6[[#This Row],[structural_risk]]</f>
        <v>1.3</v>
      </c>
      <c r="H46" s="5">
        <f>Table6[[#This Row],[total_risk]]/$G$202</f>
        <v>0.8666666666666667</v>
      </c>
      <c r="I46" t="str">
        <f>IF(Table6[[#This Row],[total_risk_pct]]&gt;0.8%,"YES","NO")</f>
        <v>YES</v>
      </c>
      <c r="J46">
        <f>IF(Table6[[#This Row],[loan_amount]]&gt;70000,2,1)</f>
        <v>2</v>
      </c>
      <c r="K46">
        <f>Table6[[#This Row],[total_risk]]*Table6[[#This Row],[stress_multiplier]]</f>
        <v>2.6</v>
      </c>
      <c r="L46" s="5">
        <f>Table6[[#This Row],[stressed_total_risk]]/$K$202</f>
        <v>1.7333333333333334</v>
      </c>
      <c r="M46">
        <f>Table6[[#This Row],[stressed_total_risk]]-Table6[[#This Row],[total_risk]]</f>
        <v>1.3</v>
      </c>
      <c r="N46" t="str">
        <f>_xlfn.XLOOKUP(Table6[[#This Row],[loan_id]],[1]!Loans[loan_id],[1]!Loans[loan_size_band])</f>
        <v>Large</v>
      </c>
      <c r="O46" s="4">
        <f>Table6[[#This Row],[total_paid]]/Table6[[#This Row],[total_due]]</f>
        <v>0.16943521594684385</v>
      </c>
    </row>
    <row r="47" spans="1:15" x14ac:dyDescent="0.25">
      <c r="A47" t="s">
        <v>60</v>
      </c>
      <c r="B47">
        <f>_xlfn.XLOOKUP(Table6[[#This Row],[loan_id]],[1]!Loans[loan_id],[1]!Loans[loan_amount])</f>
        <v>120000</v>
      </c>
      <c r="C47" s="4">
        <f>(Table6[[#This Row],[loan_amount]]*(1+0.02/6))</f>
        <v>120400.00000000001</v>
      </c>
      <c r="D47">
        <f>_xlfn.XLOOKUP(Table6[[#This Row],[loan_id]],[1]!Repayment[loan_id],[1]!Repayment[amount_paid])</f>
        <v>20400</v>
      </c>
      <c r="E47">
        <v>0.5</v>
      </c>
      <c r="F47">
        <f>_xlfn.XLOOKUP(Table6[[#This Row],[loan_id]],[1]!Loans[loan_id],[1]!Loans[structural_risk])</f>
        <v>0.8</v>
      </c>
      <c r="G47">
        <f>Table6[[#This Row],[behavioral_risk]]+Table6[[#This Row],[structural_risk]]</f>
        <v>1.3</v>
      </c>
      <c r="H47" s="5">
        <f>Table6[[#This Row],[total_risk]]/$G$202</f>
        <v>0.8666666666666667</v>
      </c>
      <c r="I47" t="str">
        <f>IF(Table6[[#This Row],[total_risk_pct]]&gt;0.8%,"YES","NO")</f>
        <v>YES</v>
      </c>
      <c r="J47">
        <f>IF(Table6[[#This Row],[loan_amount]]&gt;70000,2,1)</f>
        <v>2</v>
      </c>
      <c r="K47">
        <f>Table6[[#This Row],[total_risk]]*Table6[[#This Row],[stress_multiplier]]</f>
        <v>2.6</v>
      </c>
      <c r="L47" s="5">
        <f>Table6[[#This Row],[stressed_total_risk]]/$K$202</f>
        <v>1.7333333333333334</v>
      </c>
      <c r="M47">
        <f>Table6[[#This Row],[stressed_total_risk]]-Table6[[#This Row],[total_risk]]</f>
        <v>1.3</v>
      </c>
      <c r="N47" t="str">
        <f>_xlfn.XLOOKUP(Table6[[#This Row],[loan_id]],[1]!Loans[loan_id],[1]!Loans[loan_size_band])</f>
        <v>Large</v>
      </c>
      <c r="O47" s="4">
        <f>Table6[[#This Row],[total_paid]]/Table6[[#This Row],[total_due]]</f>
        <v>0.16943521594684383</v>
      </c>
    </row>
    <row r="48" spans="1:15" x14ac:dyDescent="0.25">
      <c r="A48" t="s">
        <v>61</v>
      </c>
      <c r="B48">
        <f>_xlfn.XLOOKUP(Table6[[#This Row],[loan_id]],[1]!Loans[loan_id],[1]!Loans[loan_amount])</f>
        <v>500000</v>
      </c>
      <c r="C48" s="4">
        <f>(Table6[[#This Row],[loan_amount]]*(1+0.02/6))</f>
        <v>501666.66666666669</v>
      </c>
      <c r="D48">
        <f>_xlfn.XLOOKUP(Table6[[#This Row],[loan_id]],[1]!Repayment[loan_id],[1]!Repayment[amount_paid])</f>
        <v>85000</v>
      </c>
      <c r="E48">
        <v>0.5</v>
      </c>
      <c r="F48">
        <f>_xlfn.XLOOKUP(Table6[[#This Row],[loan_id]],[1]!Loans[loan_id],[1]!Loans[structural_risk])</f>
        <v>0.8</v>
      </c>
      <c r="G48">
        <f>Table6[[#This Row],[behavioral_risk]]+Table6[[#This Row],[structural_risk]]</f>
        <v>1.3</v>
      </c>
      <c r="H48" s="5">
        <f>Table6[[#This Row],[total_risk]]/$G$202</f>
        <v>0.8666666666666667</v>
      </c>
      <c r="I48" t="str">
        <f>IF(Table6[[#This Row],[total_risk_pct]]&gt;0.8%,"YES","NO")</f>
        <v>YES</v>
      </c>
      <c r="J48">
        <f>IF(Table6[[#This Row],[loan_amount]]&gt;70000,2,1)</f>
        <v>2</v>
      </c>
      <c r="K48">
        <f>Table6[[#This Row],[total_risk]]*Table6[[#This Row],[stress_multiplier]]</f>
        <v>2.6</v>
      </c>
      <c r="L48" s="5">
        <f>Table6[[#This Row],[stressed_total_risk]]/$K$202</f>
        <v>1.7333333333333334</v>
      </c>
      <c r="M48">
        <f>Table6[[#This Row],[stressed_total_risk]]-Table6[[#This Row],[total_risk]]</f>
        <v>1.3</v>
      </c>
      <c r="N48" t="str">
        <f>_xlfn.XLOOKUP(Table6[[#This Row],[loan_id]],[1]!Loans[loan_id],[1]!Loans[loan_size_band])</f>
        <v>Large</v>
      </c>
      <c r="O48" s="4">
        <f>Table6[[#This Row],[total_paid]]/Table6[[#This Row],[total_due]]</f>
        <v>0.16943521594684385</v>
      </c>
    </row>
    <row r="49" spans="1:15" x14ac:dyDescent="0.25">
      <c r="A49" t="s">
        <v>62</v>
      </c>
      <c r="B49">
        <f>_xlfn.XLOOKUP(Table6[[#This Row],[loan_id]],[1]!Loans[loan_id],[1]!Loans[loan_amount])</f>
        <v>120000</v>
      </c>
      <c r="C49" s="4">
        <f>(Table6[[#This Row],[loan_amount]]*(1+0.02/6))</f>
        <v>120400.00000000001</v>
      </c>
      <c r="D49">
        <f>_xlfn.XLOOKUP(Table6[[#This Row],[loan_id]],[1]!Repayment[loan_id],[1]!Repayment[amount_paid])</f>
        <v>20400</v>
      </c>
      <c r="E49">
        <v>0.5</v>
      </c>
      <c r="F49">
        <f>_xlfn.XLOOKUP(Table6[[#This Row],[loan_id]],[1]!Loans[loan_id],[1]!Loans[structural_risk])</f>
        <v>0.8</v>
      </c>
      <c r="G49">
        <f>Table6[[#This Row],[behavioral_risk]]+Table6[[#This Row],[structural_risk]]</f>
        <v>1.3</v>
      </c>
      <c r="H49" s="5">
        <f>Table6[[#This Row],[total_risk]]/$G$202</f>
        <v>0.8666666666666667</v>
      </c>
      <c r="I49" t="str">
        <f>IF(Table6[[#This Row],[total_risk_pct]]&gt;0.8%,"YES","NO")</f>
        <v>YES</v>
      </c>
      <c r="J49">
        <f>IF(Table6[[#This Row],[loan_amount]]&gt;70000,2,1)</f>
        <v>2</v>
      </c>
      <c r="K49">
        <f>Table6[[#This Row],[total_risk]]*Table6[[#This Row],[stress_multiplier]]</f>
        <v>2.6</v>
      </c>
      <c r="L49" s="5">
        <f>Table6[[#This Row],[stressed_total_risk]]/$K$202</f>
        <v>1.7333333333333334</v>
      </c>
      <c r="M49">
        <f>Table6[[#This Row],[stressed_total_risk]]-Table6[[#This Row],[total_risk]]</f>
        <v>1.3</v>
      </c>
      <c r="N49" t="str">
        <f>_xlfn.XLOOKUP(Table6[[#This Row],[loan_id]],[1]!Loans[loan_id],[1]!Loans[loan_size_band])</f>
        <v>Large</v>
      </c>
      <c r="O49" s="4">
        <f>Table6[[#This Row],[total_paid]]/Table6[[#This Row],[total_due]]</f>
        <v>0.16943521594684383</v>
      </c>
    </row>
    <row r="50" spans="1:15" x14ac:dyDescent="0.25">
      <c r="A50" t="s">
        <v>63</v>
      </c>
      <c r="B50">
        <f>_xlfn.XLOOKUP(Table6[[#This Row],[loan_id]],[1]!Loans[loan_id],[1]!Loans[loan_amount])</f>
        <v>160000</v>
      </c>
      <c r="C50" s="4">
        <f>(Table6[[#This Row],[loan_amount]]*(1+0.02/6))</f>
        <v>160533.33333333334</v>
      </c>
      <c r="D50">
        <f>_xlfn.XLOOKUP(Table6[[#This Row],[loan_id]],[1]!Repayment[loan_id],[1]!Repayment[amount_paid])</f>
        <v>27200</v>
      </c>
      <c r="E50">
        <v>0.5</v>
      </c>
      <c r="F50">
        <f>_xlfn.XLOOKUP(Table6[[#This Row],[loan_id]],[1]!Loans[loan_id],[1]!Loans[structural_risk])</f>
        <v>0.8</v>
      </c>
      <c r="G50">
        <f>Table6[[#This Row],[behavioral_risk]]+Table6[[#This Row],[structural_risk]]</f>
        <v>1.3</v>
      </c>
      <c r="H50" s="5">
        <f>Table6[[#This Row],[total_risk]]/$G$202</f>
        <v>0.8666666666666667</v>
      </c>
      <c r="I50" t="str">
        <f>IF(Table6[[#This Row],[total_risk_pct]]&gt;0.8%,"YES","NO")</f>
        <v>YES</v>
      </c>
      <c r="J50">
        <f>IF(Table6[[#This Row],[loan_amount]]&gt;70000,2,1)</f>
        <v>2</v>
      </c>
      <c r="K50">
        <f>Table6[[#This Row],[total_risk]]*Table6[[#This Row],[stress_multiplier]]</f>
        <v>2.6</v>
      </c>
      <c r="L50" s="5">
        <f>Table6[[#This Row],[stressed_total_risk]]/$K$202</f>
        <v>1.7333333333333334</v>
      </c>
      <c r="M50">
        <f>Table6[[#This Row],[stressed_total_risk]]-Table6[[#This Row],[total_risk]]</f>
        <v>1.3</v>
      </c>
      <c r="N50" t="str">
        <f>_xlfn.XLOOKUP(Table6[[#This Row],[loan_id]],[1]!Loans[loan_id],[1]!Loans[loan_size_band])</f>
        <v>Large</v>
      </c>
      <c r="O50" s="4">
        <f>Table6[[#This Row],[total_paid]]/Table6[[#This Row],[total_due]]</f>
        <v>0.16943521594684385</v>
      </c>
    </row>
    <row r="51" spans="1:15" x14ac:dyDescent="0.25">
      <c r="A51" t="s">
        <v>64</v>
      </c>
      <c r="B51">
        <f>_xlfn.XLOOKUP(Table6[[#This Row],[loan_id]],[1]!Loans[loan_id],[1]!Loans[loan_amount])</f>
        <v>140000</v>
      </c>
      <c r="C51" s="4">
        <f>(Table6[[#This Row],[loan_amount]]*(1+0.02/6))</f>
        <v>140466.66666666669</v>
      </c>
      <c r="D51">
        <f>_xlfn.XLOOKUP(Table6[[#This Row],[loan_id]],[1]!Repayment[loan_id],[1]!Repayment[amount_paid])</f>
        <v>23800</v>
      </c>
      <c r="E51">
        <v>0.5</v>
      </c>
      <c r="F51">
        <f>_xlfn.XLOOKUP(Table6[[#This Row],[loan_id]],[1]!Loans[loan_id],[1]!Loans[structural_risk])</f>
        <v>0.8</v>
      </c>
      <c r="G51">
        <f>Table6[[#This Row],[behavioral_risk]]+Table6[[#This Row],[structural_risk]]</f>
        <v>1.3</v>
      </c>
      <c r="H51" s="5">
        <f>Table6[[#This Row],[total_risk]]/$G$202</f>
        <v>0.8666666666666667</v>
      </c>
      <c r="I51" t="str">
        <f>IF(Table6[[#This Row],[total_risk_pct]]&gt;0.8%,"YES","NO")</f>
        <v>YES</v>
      </c>
      <c r="J51">
        <f>IF(Table6[[#This Row],[loan_amount]]&gt;70000,2,1)</f>
        <v>2</v>
      </c>
      <c r="K51">
        <f>Table6[[#This Row],[total_risk]]*Table6[[#This Row],[stress_multiplier]]</f>
        <v>2.6</v>
      </c>
      <c r="L51" s="5">
        <f>Table6[[#This Row],[stressed_total_risk]]/$K$202</f>
        <v>1.7333333333333334</v>
      </c>
      <c r="M51">
        <f>Table6[[#This Row],[stressed_total_risk]]-Table6[[#This Row],[total_risk]]</f>
        <v>1.3</v>
      </c>
      <c r="N51" t="str">
        <f>_xlfn.XLOOKUP(Table6[[#This Row],[loan_id]],[1]!Loans[loan_id],[1]!Loans[loan_size_band])</f>
        <v>Large</v>
      </c>
      <c r="O51" s="4">
        <f>Table6[[#This Row],[total_paid]]/Table6[[#This Row],[total_due]]</f>
        <v>0.16943521594684383</v>
      </c>
    </row>
    <row r="52" spans="1:15" x14ac:dyDescent="0.25">
      <c r="A52" t="s">
        <v>65</v>
      </c>
      <c r="B52">
        <f>_xlfn.XLOOKUP(Table6[[#This Row],[loan_id]],[1]!Loans[loan_id],[1]!Loans[loan_amount])</f>
        <v>320000</v>
      </c>
      <c r="C52" s="4">
        <f>(Table6[[#This Row],[loan_amount]]*(1+0.02/6))</f>
        <v>321066.66666666669</v>
      </c>
      <c r="D52">
        <f>_xlfn.XLOOKUP(Table6[[#This Row],[loan_id]],[1]!Repayment[loan_id],[1]!Repayment[amount_paid])</f>
        <v>54400</v>
      </c>
      <c r="E52">
        <v>0.5</v>
      </c>
      <c r="F52">
        <f>_xlfn.XLOOKUP(Table6[[#This Row],[loan_id]],[1]!Loans[loan_id],[1]!Loans[structural_risk])</f>
        <v>0.8</v>
      </c>
      <c r="G52">
        <f>Table6[[#This Row],[behavioral_risk]]+Table6[[#This Row],[structural_risk]]</f>
        <v>1.3</v>
      </c>
      <c r="H52" s="5">
        <f>Table6[[#This Row],[total_risk]]/$G$202</f>
        <v>0.8666666666666667</v>
      </c>
      <c r="I52" t="str">
        <f>IF(Table6[[#This Row],[total_risk_pct]]&gt;0.8%,"YES","NO")</f>
        <v>YES</v>
      </c>
      <c r="J52">
        <f>IF(Table6[[#This Row],[loan_amount]]&gt;70000,2,1)</f>
        <v>2</v>
      </c>
      <c r="K52">
        <f>Table6[[#This Row],[total_risk]]*Table6[[#This Row],[stress_multiplier]]</f>
        <v>2.6</v>
      </c>
      <c r="L52" s="5">
        <f>Table6[[#This Row],[stressed_total_risk]]/$K$202</f>
        <v>1.7333333333333334</v>
      </c>
      <c r="M52">
        <f>Table6[[#This Row],[stressed_total_risk]]-Table6[[#This Row],[total_risk]]</f>
        <v>1.3</v>
      </c>
      <c r="N52" t="str">
        <f>_xlfn.XLOOKUP(Table6[[#This Row],[loan_id]],[1]!Loans[loan_id],[1]!Loans[loan_size_band])</f>
        <v>Large</v>
      </c>
      <c r="O52" s="4">
        <f>Table6[[#This Row],[total_paid]]/Table6[[#This Row],[total_due]]</f>
        <v>0.16943521594684385</v>
      </c>
    </row>
    <row r="53" spans="1:15" x14ac:dyDescent="0.25">
      <c r="A53" t="s">
        <v>66</v>
      </c>
      <c r="B53">
        <f>_xlfn.XLOOKUP(Table6[[#This Row],[loan_id]],[1]!Loans[loan_id],[1]!Loans[loan_amount])</f>
        <v>440000</v>
      </c>
      <c r="C53" s="4">
        <f>(Table6[[#This Row],[loan_amount]]*(1+0.02/6))</f>
        <v>441466.66666666669</v>
      </c>
      <c r="D53">
        <f>_xlfn.XLOOKUP(Table6[[#This Row],[loan_id]],[1]!Repayment[loan_id],[1]!Repayment[amount_paid])</f>
        <v>74800</v>
      </c>
      <c r="E53">
        <v>0.5</v>
      </c>
      <c r="F53">
        <f>_xlfn.XLOOKUP(Table6[[#This Row],[loan_id]],[1]!Loans[loan_id],[1]!Loans[structural_risk])</f>
        <v>0.8</v>
      </c>
      <c r="G53">
        <f>Table6[[#This Row],[behavioral_risk]]+Table6[[#This Row],[structural_risk]]</f>
        <v>1.3</v>
      </c>
      <c r="H53" s="5">
        <f>Table6[[#This Row],[total_risk]]/$G$202</f>
        <v>0.8666666666666667</v>
      </c>
      <c r="I53" t="str">
        <f>IF(Table6[[#This Row],[total_risk_pct]]&gt;0.8%,"YES","NO")</f>
        <v>YES</v>
      </c>
      <c r="J53">
        <f>IF(Table6[[#This Row],[loan_amount]]&gt;70000,2,1)</f>
        <v>2</v>
      </c>
      <c r="K53">
        <f>Table6[[#This Row],[total_risk]]*Table6[[#This Row],[stress_multiplier]]</f>
        <v>2.6</v>
      </c>
      <c r="L53" s="5">
        <f>Table6[[#This Row],[stressed_total_risk]]/$K$202</f>
        <v>1.7333333333333334</v>
      </c>
      <c r="M53">
        <f>Table6[[#This Row],[stressed_total_risk]]-Table6[[#This Row],[total_risk]]</f>
        <v>1.3</v>
      </c>
      <c r="N53" t="str">
        <f>_xlfn.XLOOKUP(Table6[[#This Row],[loan_id]],[1]!Loans[loan_id],[1]!Loans[loan_size_band])</f>
        <v>Large</v>
      </c>
      <c r="O53" s="4">
        <f>Table6[[#This Row],[total_paid]]/Table6[[#This Row],[total_due]]</f>
        <v>0.16943521594684385</v>
      </c>
    </row>
    <row r="54" spans="1:15" x14ac:dyDescent="0.25">
      <c r="A54" t="s">
        <v>67</v>
      </c>
      <c r="B54">
        <f>_xlfn.XLOOKUP(Table6[[#This Row],[loan_id]],[1]!Loans[loan_id],[1]!Loans[loan_amount])</f>
        <v>190000</v>
      </c>
      <c r="C54" s="4">
        <f>(Table6[[#This Row],[loan_amount]]*(1+0.02/6))</f>
        <v>190633.33333333334</v>
      </c>
      <c r="D54">
        <f>_xlfn.XLOOKUP(Table6[[#This Row],[loan_id]],[1]!Repayment[loan_id],[1]!Repayment[amount_paid])</f>
        <v>32300</v>
      </c>
      <c r="E54">
        <v>0.5</v>
      </c>
      <c r="F54">
        <f>_xlfn.XLOOKUP(Table6[[#This Row],[loan_id]],[1]!Loans[loan_id],[1]!Loans[structural_risk])</f>
        <v>0.8</v>
      </c>
      <c r="G54">
        <f>Table6[[#This Row],[behavioral_risk]]+Table6[[#This Row],[structural_risk]]</f>
        <v>1.3</v>
      </c>
      <c r="H54" s="5">
        <f>Table6[[#This Row],[total_risk]]/$G$202</f>
        <v>0.8666666666666667</v>
      </c>
      <c r="I54" t="str">
        <f>IF(Table6[[#This Row],[total_risk_pct]]&gt;0.8%,"YES","NO")</f>
        <v>YES</v>
      </c>
      <c r="J54">
        <f>IF(Table6[[#This Row],[loan_amount]]&gt;70000,2,1)</f>
        <v>2</v>
      </c>
      <c r="K54">
        <f>Table6[[#This Row],[total_risk]]*Table6[[#This Row],[stress_multiplier]]</f>
        <v>2.6</v>
      </c>
      <c r="L54" s="5">
        <f>Table6[[#This Row],[stressed_total_risk]]/$K$202</f>
        <v>1.7333333333333334</v>
      </c>
      <c r="M54">
        <f>Table6[[#This Row],[stressed_total_risk]]-Table6[[#This Row],[total_risk]]</f>
        <v>1.3</v>
      </c>
      <c r="N54" t="str">
        <f>_xlfn.XLOOKUP(Table6[[#This Row],[loan_id]],[1]!Loans[loan_id],[1]!Loans[loan_size_band])</f>
        <v>Large</v>
      </c>
      <c r="O54" s="4">
        <f>Table6[[#This Row],[total_paid]]/Table6[[#This Row],[total_due]]</f>
        <v>0.16943521594684385</v>
      </c>
    </row>
    <row r="55" spans="1:15" x14ac:dyDescent="0.25">
      <c r="A55" t="s">
        <v>68</v>
      </c>
      <c r="B55">
        <f>_xlfn.XLOOKUP(Table6[[#This Row],[loan_id]],[1]!Loans[loan_id],[1]!Loans[loan_amount])</f>
        <v>340000</v>
      </c>
      <c r="C55" s="4">
        <f>(Table6[[#This Row],[loan_amount]]*(1+0.02/6))</f>
        <v>341133.33333333337</v>
      </c>
      <c r="D55">
        <f>_xlfn.XLOOKUP(Table6[[#This Row],[loan_id]],[1]!Repayment[loan_id],[1]!Repayment[amount_paid])</f>
        <v>57800</v>
      </c>
      <c r="E55">
        <v>0.5</v>
      </c>
      <c r="F55">
        <f>_xlfn.XLOOKUP(Table6[[#This Row],[loan_id]],[1]!Loans[loan_id],[1]!Loans[structural_risk])</f>
        <v>0.8</v>
      </c>
      <c r="G55">
        <f>Table6[[#This Row],[behavioral_risk]]+Table6[[#This Row],[structural_risk]]</f>
        <v>1.3</v>
      </c>
      <c r="H55" s="5">
        <f>Table6[[#This Row],[total_risk]]/$G$202</f>
        <v>0.8666666666666667</v>
      </c>
      <c r="I55" t="str">
        <f>IF(Table6[[#This Row],[total_risk_pct]]&gt;0.8%,"YES","NO")</f>
        <v>YES</v>
      </c>
      <c r="J55">
        <f>IF(Table6[[#This Row],[loan_amount]]&gt;70000,2,1)</f>
        <v>2</v>
      </c>
      <c r="K55">
        <f>Table6[[#This Row],[total_risk]]*Table6[[#This Row],[stress_multiplier]]</f>
        <v>2.6</v>
      </c>
      <c r="L55" s="5">
        <f>Table6[[#This Row],[stressed_total_risk]]/$K$202</f>
        <v>1.7333333333333334</v>
      </c>
      <c r="M55">
        <f>Table6[[#This Row],[stressed_total_risk]]-Table6[[#This Row],[total_risk]]</f>
        <v>1.3</v>
      </c>
      <c r="N55" t="str">
        <f>_xlfn.XLOOKUP(Table6[[#This Row],[loan_id]],[1]!Loans[loan_id],[1]!Loans[loan_size_band])</f>
        <v>Large</v>
      </c>
      <c r="O55" s="4">
        <f>Table6[[#This Row],[total_paid]]/Table6[[#This Row],[total_due]]</f>
        <v>0.16943521594684383</v>
      </c>
    </row>
    <row r="56" spans="1:15" x14ac:dyDescent="0.25">
      <c r="A56" t="s">
        <v>69</v>
      </c>
      <c r="B56">
        <f>_xlfn.XLOOKUP(Table6[[#This Row],[loan_id]],[1]!Loans[loan_id],[1]!Loans[loan_amount])</f>
        <v>140000</v>
      </c>
      <c r="C56" s="4">
        <f>(Table6[[#This Row],[loan_amount]]*(1+0.02/6))</f>
        <v>140466.66666666669</v>
      </c>
      <c r="D56">
        <f>_xlfn.XLOOKUP(Table6[[#This Row],[loan_id]],[1]!Repayment[loan_id],[1]!Repayment[amount_paid])</f>
        <v>23800</v>
      </c>
      <c r="E56">
        <v>0.5</v>
      </c>
      <c r="F56">
        <f>_xlfn.XLOOKUP(Table6[[#This Row],[loan_id]],[1]!Loans[loan_id],[1]!Loans[structural_risk])</f>
        <v>0.8</v>
      </c>
      <c r="G56">
        <f>Table6[[#This Row],[behavioral_risk]]+Table6[[#This Row],[structural_risk]]</f>
        <v>1.3</v>
      </c>
      <c r="H56" s="5">
        <f>Table6[[#This Row],[total_risk]]/$G$202</f>
        <v>0.8666666666666667</v>
      </c>
      <c r="I56" t="str">
        <f>IF(Table6[[#This Row],[total_risk_pct]]&gt;0.8%,"YES","NO")</f>
        <v>YES</v>
      </c>
      <c r="J56">
        <f>IF(Table6[[#This Row],[loan_amount]]&gt;70000,2,1)</f>
        <v>2</v>
      </c>
      <c r="K56">
        <f>Table6[[#This Row],[total_risk]]*Table6[[#This Row],[stress_multiplier]]</f>
        <v>2.6</v>
      </c>
      <c r="L56" s="5">
        <f>Table6[[#This Row],[stressed_total_risk]]/$K$202</f>
        <v>1.7333333333333334</v>
      </c>
      <c r="M56">
        <f>Table6[[#This Row],[stressed_total_risk]]-Table6[[#This Row],[total_risk]]</f>
        <v>1.3</v>
      </c>
      <c r="N56" t="str">
        <f>_xlfn.XLOOKUP(Table6[[#This Row],[loan_id]],[1]!Loans[loan_id],[1]!Loans[loan_size_band])</f>
        <v>Large</v>
      </c>
      <c r="O56" s="4">
        <f>Table6[[#This Row],[total_paid]]/Table6[[#This Row],[total_due]]</f>
        <v>0.16943521594684383</v>
      </c>
    </row>
    <row r="57" spans="1:15" x14ac:dyDescent="0.25">
      <c r="A57" t="s">
        <v>70</v>
      </c>
      <c r="B57">
        <f>_xlfn.XLOOKUP(Table6[[#This Row],[loan_id]],[1]!Loans[loan_id],[1]!Loans[loan_amount])</f>
        <v>80000</v>
      </c>
      <c r="C57" s="4">
        <f>(Table6[[#This Row],[loan_amount]]*(1+0.02/6))</f>
        <v>80266.666666666672</v>
      </c>
      <c r="D57">
        <f>_xlfn.XLOOKUP(Table6[[#This Row],[loan_id]],[1]!Repayment[loan_id],[1]!Repayment[amount_paid])</f>
        <v>13600</v>
      </c>
      <c r="E57">
        <v>0.5</v>
      </c>
      <c r="F57">
        <f>_xlfn.XLOOKUP(Table6[[#This Row],[loan_id]],[1]!Loans[loan_id],[1]!Loans[structural_risk])</f>
        <v>0.8</v>
      </c>
      <c r="G57">
        <f>Table6[[#This Row],[behavioral_risk]]+Table6[[#This Row],[structural_risk]]</f>
        <v>1.3</v>
      </c>
      <c r="H57" s="5">
        <f>Table6[[#This Row],[total_risk]]/$G$202</f>
        <v>0.8666666666666667</v>
      </c>
      <c r="I57" t="str">
        <f>IF(Table6[[#This Row],[total_risk_pct]]&gt;0.8%,"YES","NO")</f>
        <v>YES</v>
      </c>
      <c r="J57">
        <f>IF(Table6[[#This Row],[loan_amount]]&gt;70000,2,1)</f>
        <v>2</v>
      </c>
      <c r="K57">
        <f>Table6[[#This Row],[total_risk]]*Table6[[#This Row],[stress_multiplier]]</f>
        <v>2.6</v>
      </c>
      <c r="L57" s="5">
        <f>Table6[[#This Row],[stressed_total_risk]]/$K$202</f>
        <v>1.7333333333333334</v>
      </c>
      <c r="M57">
        <f>Table6[[#This Row],[stressed_total_risk]]-Table6[[#This Row],[total_risk]]</f>
        <v>1.3</v>
      </c>
      <c r="N57" t="str">
        <f>_xlfn.XLOOKUP(Table6[[#This Row],[loan_id]],[1]!Loans[loan_id],[1]!Loans[loan_size_band])</f>
        <v>Large</v>
      </c>
      <c r="O57" s="4">
        <f>Table6[[#This Row],[total_paid]]/Table6[[#This Row],[total_due]]</f>
        <v>0.16943521594684385</v>
      </c>
    </row>
    <row r="58" spans="1:15" x14ac:dyDescent="0.25">
      <c r="A58" t="s">
        <v>71</v>
      </c>
      <c r="B58">
        <f>_xlfn.XLOOKUP(Table6[[#This Row],[loan_id]],[1]!Loans[loan_id],[1]!Loans[loan_amount])</f>
        <v>160000</v>
      </c>
      <c r="C58" s="4">
        <f>(Table6[[#This Row],[loan_amount]]*(1+0.02/6))</f>
        <v>160533.33333333334</v>
      </c>
      <c r="D58">
        <f>_xlfn.XLOOKUP(Table6[[#This Row],[loan_id]],[1]!Repayment[loan_id],[1]!Repayment[amount_paid])</f>
        <v>27200</v>
      </c>
      <c r="E58">
        <v>0.5</v>
      </c>
      <c r="F58">
        <f>_xlfn.XLOOKUP(Table6[[#This Row],[loan_id]],[1]!Loans[loan_id],[1]!Loans[structural_risk])</f>
        <v>0.8</v>
      </c>
      <c r="G58">
        <f>Table6[[#This Row],[behavioral_risk]]+Table6[[#This Row],[structural_risk]]</f>
        <v>1.3</v>
      </c>
      <c r="H58" s="5">
        <f>Table6[[#This Row],[total_risk]]/$G$202</f>
        <v>0.8666666666666667</v>
      </c>
      <c r="I58" t="str">
        <f>IF(Table6[[#This Row],[total_risk_pct]]&gt;0.8%,"YES","NO")</f>
        <v>YES</v>
      </c>
      <c r="J58">
        <f>IF(Table6[[#This Row],[loan_amount]]&gt;70000,2,1)</f>
        <v>2</v>
      </c>
      <c r="K58">
        <f>Table6[[#This Row],[total_risk]]*Table6[[#This Row],[stress_multiplier]]</f>
        <v>2.6</v>
      </c>
      <c r="L58" s="5">
        <f>Table6[[#This Row],[stressed_total_risk]]/$K$202</f>
        <v>1.7333333333333334</v>
      </c>
      <c r="M58">
        <f>Table6[[#This Row],[stressed_total_risk]]-Table6[[#This Row],[total_risk]]</f>
        <v>1.3</v>
      </c>
      <c r="N58" t="str">
        <f>_xlfn.XLOOKUP(Table6[[#This Row],[loan_id]],[1]!Loans[loan_id],[1]!Loans[loan_size_band])</f>
        <v>Large</v>
      </c>
      <c r="O58" s="4">
        <f>Table6[[#This Row],[total_paid]]/Table6[[#This Row],[total_due]]</f>
        <v>0.16943521594684385</v>
      </c>
    </row>
    <row r="59" spans="1:15" x14ac:dyDescent="0.25">
      <c r="A59" t="s">
        <v>72</v>
      </c>
      <c r="B59">
        <f>_xlfn.XLOOKUP(Table6[[#This Row],[loan_id]],[1]!Loans[loan_id],[1]!Loans[loan_amount])</f>
        <v>200000</v>
      </c>
      <c r="C59" s="4">
        <f>(Table6[[#This Row],[loan_amount]]*(1+0.02/6))</f>
        <v>200666.66666666669</v>
      </c>
      <c r="D59">
        <f>_xlfn.XLOOKUP(Table6[[#This Row],[loan_id]],[1]!Repayment[loan_id],[1]!Repayment[amount_paid])</f>
        <v>34000</v>
      </c>
      <c r="E59">
        <v>0.5</v>
      </c>
      <c r="F59">
        <f>_xlfn.XLOOKUP(Table6[[#This Row],[loan_id]],[1]!Loans[loan_id],[1]!Loans[structural_risk])</f>
        <v>0.8</v>
      </c>
      <c r="G59">
        <f>Table6[[#This Row],[behavioral_risk]]+Table6[[#This Row],[structural_risk]]</f>
        <v>1.3</v>
      </c>
      <c r="H59" s="5">
        <f>Table6[[#This Row],[total_risk]]/$G$202</f>
        <v>0.8666666666666667</v>
      </c>
      <c r="I59" t="str">
        <f>IF(Table6[[#This Row],[total_risk_pct]]&gt;0.8%,"YES","NO")</f>
        <v>YES</v>
      </c>
      <c r="J59">
        <f>IF(Table6[[#This Row],[loan_amount]]&gt;70000,2,1)</f>
        <v>2</v>
      </c>
      <c r="K59">
        <f>Table6[[#This Row],[total_risk]]*Table6[[#This Row],[stress_multiplier]]</f>
        <v>2.6</v>
      </c>
      <c r="L59" s="5">
        <f>Table6[[#This Row],[stressed_total_risk]]/$K$202</f>
        <v>1.7333333333333334</v>
      </c>
      <c r="M59">
        <f>Table6[[#This Row],[stressed_total_risk]]-Table6[[#This Row],[total_risk]]</f>
        <v>1.3</v>
      </c>
      <c r="N59" t="str">
        <f>_xlfn.XLOOKUP(Table6[[#This Row],[loan_id]],[1]!Loans[loan_id],[1]!Loans[loan_size_band])</f>
        <v>Large</v>
      </c>
      <c r="O59" s="4">
        <f>Table6[[#This Row],[total_paid]]/Table6[[#This Row],[total_due]]</f>
        <v>0.16943521594684383</v>
      </c>
    </row>
    <row r="60" spans="1:15" x14ac:dyDescent="0.25">
      <c r="A60" t="s">
        <v>73</v>
      </c>
      <c r="B60">
        <f>_xlfn.XLOOKUP(Table6[[#This Row],[loan_id]],[1]!Loans[loan_id],[1]!Loans[loan_amount])</f>
        <v>340000</v>
      </c>
      <c r="C60" s="4">
        <f>(Table6[[#This Row],[loan_amount]]*(1+0.02/6))</f>
        <v>341133.33333333337</v>
      </c>
      <c r="D60">
        <f>_xlfn.XLOOKUP(Table6[[#This Row],[loan_id]],[1]!Repayment[loan_id],[1]!Repayment[amount_paid])</f>
        <v>57800</v>
      </c>
      <c r="E60">
        <v>0.5</v>
      </c>
      <c r="F60">
        <f>_xlfn.XLOOKUP(Table6[[#This Row],[loan_id]],[1]!Loans[loan_id],[1]!Loans[structural_risk])</f>
        <v>0.8</v>
      </c>
      <c r="G60">
        <f>Table6[[#This Row],[behavioral_risk]]+Table6[[#This Row],[structural_risk]]</f>
        <v>1.3</v>
      </c>
      <c r="H60" s="5">
        <f>Table6[[#This Row],[total_risk]]/$G$202</f>
        <v>0.8666666666666667</v>
      </c>
      <c r="I60" t="str">
        <f>IF(Table6[[#This Row],[total_risk_pct]]&gt;0.8%,"YES","NO")</f>
        <v>YES</v>
      </c>
      <c r="J60">
        <f>IF(Table6[[#This Row],[loan_amount]]&gt;70000,2,1)</f>
        <v>2</v>
      </c>
      <c r="K60">
        <f>Table6[[#This Row],[total_risk]]*Table6[[#This Row],[stress_multiplier]]</f>
        <v>2.6</v>
      </c>
      <c r="L60" s="5">
        <f>Table6[[#This Row],[stressed_total_risk]]/$K$202</f>
        <v>1.7333333333333334</v>
      </c>
      <c r="M60">
        <f>Table6[[#This Row],[stressed_total_risk]]-Table6[[#This Row],[total_risk]]</f>
        <v>1.3</v>
      </c>
      <c r="N60" t="str">
        <f>_xlfn.XLOOKUP(Table6[[#This Row],[loan_id]],[1]!Loans[loan_id],[1]!Loans[loan_size_band])</f>
        <v>Large</v>
      </c>
      <c r="O60" s="4">
        <f>Table6[[#This Row],[total_paid]]/Table6[[#This Row],[total_due]]</f>
        <v>0.16943521594684383</v>
      </c>
    </row>
    <row r="61" spans="1:15" x14ac:dyDescent="0.25">
      <c r="A61" t="s">
        <v>74</v>
      </c>
      <c r="B61">
        <f>_xlfn.XLOOKUP(Table6[[#This Row],[loan_id]],[1]!Loans[loan_id],[1]!Loans[loan_amount])</f>
        <v>160000</v>
      </c>
      <c r="C61" s="4">
        <f>(Table6[[#This Row],[loan_amount]]*(1+0.02/6))</f>
        <v>160533.33333333334</v>
      </c>
      <c r="D61">
        <f>_xlfn.XLOOKUP(Table6[[#This Row],[loan_id]],[1]!Repayment[loan_id],[1]!Repayment[amount_paid])</f>
        <v>27200</v>
      </c>
      <c r="E61">
        <v>0.5</v>
      </c>
      <c r="F61">
        <f>_xlfn.XLOOKUP(Table6[[#This Row],[loan_id]],[1]!Loans[loan_id],[1]!Loans[structural_risk])</f>
        <v>0.8</v>
      </c>
      <c r="G61">
        <f>Table6[[#This Row],[behavioral_risk]]+Table6[[#This Row],[structural_risk]]</f>
        <v>1.3</v>
      </c>
      <c r="H61" s="5">
        <f>Table6[[#This Row],[total_risk]]/$G$202</f>
        <v>0.8666666666666667</v>
      </c>
      <c r="I61" t="str">
        <f>IF(Table6[[#This Row],[total_risk_pct]]&gt;0.8%,"YES","NO")</f>
        <v>YES</v>
      </c>
      <c r="J61">
        <f>IF(Table6[[#This Row],[loan_amount]]&gt;70000,2,1)</f>
        <v>2</v>
      </c>
      <c r="K61">
        <f>Table6[[#This Row],[total_risk]]*Table6[[#This Row],[stress_multiplier]]</f>
        <v>2.6</v>
      </c>
      <c r="L61" s="5">
        <f>Table6[[#This Row],[stressed_total_risk]]/$K$202</f>
        <v>1.7333333333333334</v>
      </c>
      <c r="M61">
        <f>Table6[[#This Row],[stressed_total_risk]]-Table6[[#This Row],[total_risk]]</f>
        <v>1.3</v>
      </c>
      <c r="N61" t="str">
        <f>_xlfn.XLOOKUP(Table6[[#This Row],[loan_id]],[1]!Loans[loan_id],[1]!Loans[loan_size_band])</f>
        <v>Large</v>
      </c>
      <c r="O61" s="4">
        <f>Table6[[#This Row],[total_paid]]/Table6[[#This Row],[total_due]]</f>
        <v>0.16943521594684385</v>
      </c>
    </row>
    <row r="62" spans="1:15" x14ac:dyDescent="0.25">
      <c r="A62" t="s">
        <v>75</v>
      </c>
      <c r="B62">
        <f>_xlfn.XLOOKUP(Table6[[#This Row],[loan_id]],[1]!Loans[loan_id],[1]!Loans[loan_amount])</f>
        <v>230000</v>
      </c>
      <c r="C62" s="4">
        <f>(Table6[[#This Row],[loan_amount]]*(1+0.02/6))</f>
        <v>230766.66666666669</v>
      </c>
      <c r="D62">
        <f>_xlfn.XLOOKUP(Table6[[#This Row],[loan_id]],[1]!Repayment[loan_id],[1]!Repayment[amount_paid])</f>
        <v>39100</v>
      </c>
      <c r="E62">
        <v>0.5</v>
      </c>
      <c r="F62">
        <f>_xlfn.XLOOKUP(Table6[[#This Row],[loan_id]],[1]!Loans[loan_id],[1]!Loans[structural_risk])</f>
        <v>0.8</v>
      </c>
      <c r="G62">
        <f>Table6[[#This Row],[behavioral_risk]]+Table6[[#This Row],[structural_risk]]</f>
        <v>1.3</v>
      </c>
      <c r="H62" s="5">
        <f>Table6[[#This Row],[total_risk]]/$G$202</f>
        <v>0.8666666666666667</v>
      </c>
      <c r="I62" t="str">
        <f>IF(Table6[[#This Row],[total_risk_pct]]&gt;0.8%,"YES","NO")</f>
        <v>YES</v>
      </c>
      <c r="J62">
        <f>IF(Table6[[#This Row],[loan_amount]]&gt;70000,2,1)</f>
        <v>2</v>
      </c>
      <c r="K62">
        <f>Table6[[#This Row],[total_risk]]*Table6[[#This Row],[stress_multiplier]]</f>
        <v>2.6</v>
      </c>
      <c r="L62" s="5">
        <f>Table6[[#This Row],[stressed_total_risk]]/$K$202</f>
        <v>1.7333333333333334</v>
      </c>
      <c r="M62">
        <f>Table6[[#This Row],[stressed_total_risk]]-Table6[[#This Row],[total_risk]]</f>
        <v>1.3</v>
      </c>
      <c r="N62" t="str">
        <f>_xlfn.XLOOKUP(Table6[[#This Row],[loan_id]],[1]!Loans[loan_id],[1]!Loans[loan_size_band])</f>
        <v>Large</v>
      </c>
      <c r="O62" s="4">
        <f>Table6[[#This Row],[total_paid]]/Table6[[#This Row],[total_due]]</f>
        <v>0.16943521594684385</v>
      </c>
    </row>
    <row r="63" spans="1:15" x14ac:dyDescent="0.25">
      <c r="A63" t="s">
        <v>76</v>
      </c>
      <c r="B63">
        <f>_xlfn.XLOOKUP(Table6[[#This Row],[loan_id]],[1]!Loans[loan_id],[1]!Loans[loan_amount])</f>
        <v>430000</v>
      </c>
      <c r="C63" s="4">
        <f>(Table6[[#This Row],[loan_amount]]*(1+0.02/6))</f>
        <v>431433.33333333337</v>
      </c>
      <c r="D63">
        <f>_xlfn.XLOOKUP(Table6[[#This Row],[loan_id]],[1]!Repayment[loan_id],[1]!Repayment[amount_paid])</f>
        <v>73100</v>
      </c>
      <c r="E63">
        <v>0.5</v>
      </c>
      <c r="F63">
        <f>_xlfn.XLOOKUP(Table6[[#This Row],[loan_id]],[1]!Loans[loan_id],[1]!Loans[structural_risk])</f>
        <v>0.8</v>
      </c>
      <c r="G63">
        <f>Table6[[#This Row],[behavioral_risk]]+Table6[[#This Row],[structural_risk]]</f>
        <v>1.3</v>
      </c>
      <c r="H63" s="5">
        <f>Table6[[#This Row],[total_risk]]/$G$202</f>
        <v>0.8666666666666667</v>
      </c>
      <c r="I63" t="str">
        <f>IF(Table6[[#This Row],[total_risk_pct]]&gt;0.8%,"YES","NO")</f>
        <v>YES</v>
      </c>
      <c r="J63">
        <f>IF(Table6[[#This Row],[loan_amount]]&gt;70000,2,1)</f>
        <v>2</v>
      </c>
      <c r="K63">
        <f>Table6[[#This Row],[total_risk]]*Table6[[#This Row],[stress_multiplier]]</f>
        <v>2.6</v>
      </c>
      <c r="L63" s="5">
        <f>Table6[[#This Row],[stressed_total_risk]]/$K$202</f>
        <v>1.7333333333333334</v>
      </c>
      <c r="M63">
        <f>Table6[[#This Row],[stressed_total_risk]]-Table6[[#This Row],[total_risk]]</f>
        <v>1.3</v>
      </c>
      <c r="N63" t="str">
        <f>_xlfn.XLOOKUP(Table6[[#This Row],[loan_id]],[1]!Loans[loan_id],[1]!Loans[loan_size_band])</f>
        <v>Large</v>
      </c>
      <c r="O63" s="4">
        <f>Table6[[#This Row],[total_paid]]/Table6[[#This Row],[total_due]]</f>
        <v>0.16943521594684383</v>
      </c>
    </row>
    <row r="64" spans="1:15" x14ac:dyDescent="0.25">
      <c r="A64" t="s">
        <v>77</v>
      </c>
      <c r="B64">
        <f>_xlfn.XLOOKUP(Table6[[#This Row],[loan_id]],[1]!Loans[loan_id],[1]!Loans[loan_amount])</f>
        <v>120000</v>
      </c>
      <c r="C64" s="4">
        <f>(Table6[[#This Row],[loan_amount]]*(1+0.02/6))</f>
        <v>120400.00000000001</v>
      </c>
      <c r="D64">
        <f>_xlfn.XLOOKUP(Table6[[#This Row],[loan_id]],[1]!Repayment[loan_id],[1]!Repayment[amount_paid])</f>
        <v>20400</v>
      </c>
      <c r="E64">
        <v>0.5</v>
      </c>
      <c r="F64">
        <f>_xlfn.XLOOKUP(Table6[[#This Row],[loan_id]],[1]!Loans[loan_id],[1]!Loans[structural_risk])</f>
        <v>0.8</v>
      </c>
      <c r="G64">
        <f>Table6[[#This Row],[behavioral_risk]]+Table6[[#This Row],[structural_risk]]</f>
        <v>1.3</v>
      </c>
      <c r="H64" s="5">
        <f>Table6[[#This Row],[total_risk]]/$G$202</f>
        <v>0.8666666666666667</v>
      </c>
      <c r="I64" t="str">
        <f>IF(Table6[[#This Row],[total_risk_pct]]&gt;0.8%,"YES","NO")</f>
        <v>YES</v>
      </c>
      <c r="J64">
        <f>IF(Table6[[#This Row],[loan_amount]]&gt;70000,2,1)</f>
        <v>2</v>
      </c>
      <c r="K64">
        <f>Table6[[#This Row],[total_risk]]*Table6[[#This Row],[stress_multiplier]]</f>
        <v>2.6</v>
      </c>
      <c r="L64" s="5">
        <f>Table6[[#This Row],[stressed_total_risk]]/$K$202</f>
        <v>1.7333333333333334</v>
      </c>
      <c r="M64">
        <f>Table6[[#This Row],[stressed_total_risk]]-Table6[[#This Row],[total_risk]]</f>
        <v>1.3</v>
      </c>
      <c r="N64" t="str">
        <f>_xlfn.XLOOKUP(Table6[[#This Row],[loan_id]],[1]!Loans[loan_id],[1]!Loans[loan_size_band])</f>
        <v>Large</v>
      </c>
      <c r="O64" s="4">
        <f>Table6[[#This Row],[total_paid]]/Table6[[#This Row],[total_due]]</f>
        <v>0.16943521594684383</v>
      </c>
    </row>
    <row r="65" spans="1:15" x14ac:dyDescent="0.25">
      <c r="A65" t="s">
        <v>78</v>
      </c>
      <c r="B65">
        <f>_xlfn.XLOOKUP(Table6[[#This Row],[loan_id]],[1]!Loans[loan_id],[1]!Loans[loan_amount])</f>
        <v>240000</v>
      </c>
      <c r="C65" s="4">
        <f>(Table6[[#This Row],[loan_amount]]*(1+0.02/6))</f>
        <v>240800.00000000003</v>
      </c>
      <c r="D65">
        <f>_xlfn.XLOOKUP(Table6[[#This Row],[loan_id]],[1]!Repayment[loan_id],[1]!Repayment[amount_paid])</f>
        <v>40800</v>
      </c>
      <c r="E65">
        <v>0.5</v>
      </c>
      <c r="F65">
        <f>_xlfn.XLOOKUP(Table6[[#This Row],[loan_id]],[1]!Loans[loan_id],[1]!Loans[structural_risk])</f>
        <v>0.8</v>
      </c>
      <c r="G65">
        <f>Table6[[#This Row],[behavioral_risk]]+Table6[[#This Row],[structural_risk]]</f>
        <v>1.3</v>
      </c>
      <c r="H65" s="5">
        <f>Table6[[#This Row],[total_risk]]/$G$202</f>
        <v>0.8666666666666667</v>
      </c>
      <c r="I65" t="str">
        <f>IF(Table6[[#This Row],[total_risk_pct]]&gt;0.8%,"YES","NO")</f>
        <v>YES</v>
      </c>
      <c r="J65">
        <f>IF(Table6[[#This Row],[loan_amount]]&gt;70000,2,1)</f>
        <v>2</v>
      </c>
      <c r="K65">
        <f>Table6[[#This Row],[total_risk]]*Table6[[#This Row],[stress_multiplier]]</f>
        <v>2.6</v>
      </c>
      <c r="L65" s="5">
        <f>Table6[[#This Row],[stressed_total_risk]]/$K$202</f>
        <v>1.7333333333333334</v>
      </c>
      <c r="M65">
        <f>Table6[[#This Row],[stressed_total_risk]]-Table6[[#This Row],[total_risk]]</f>
        <v>1.3</v>
      </c>
      <c r="N65" t="str">
        <f>_xlfn.XLOOKUP(Table6[[#This Row],[loan_id]],[1]!Loans[loan_id],[1]!Loans[loan_size_band])</f>
        <v>Large</v>
      </c>
      <c r="O65" s="4">
        <f>Table6[[#This Row],[total_paid]]/Table6[[#This Row],[total_due]]</f>
        <v>0.16943521594684383</v>
      </c>
    </row>
    <row r="66" spans="1:15" x14ac:dyDescent="0.25">
      <c r="A66" t="s">
        <v>79</v>
      </c>
      <c r="B66">
        <f>_xlfn.XLOOKUP(Table6[[#This Row],[loan_id]],[1]!Loans[loan_id],[1]!Loans[loan_amount])</f>
        <v>40000</v>
      </c>
      <c r="C66" s="4">
        <f>(Table6[[#This Row],[loan_amount]]*(1+0.02/6))</f>
        <v>40133.333333333336</v>
      </c>
      <c r="D66">
        <f>_xlfn.XLOOKUP(Table6[[#This Row],[loan_id]],[1]!Repayment[loan_id],[1]!Repayment[amount_paid])</f>
        <v>6800</v>
      </c>
      <c r="E66">
        <v>1</v>
      </c>
      <c r="F66">
        <f>_xlfn.XLOOKUP(Table6[[#This Row],[loan_id]],[1]!Loans[loan_id],[1]!Loans[structural_risk])</f>
        <v>0.5</v>
      </c>
      <c r="G66">
        <f>Table6[[#This Row],[behavioral_risk]]+Table6[[#This Row],[structural_risk]]</f>
        <v>1.5</v>
      </c>
      <c r="H66" s="5">
        <f>Table6[[#This Row],[total_risk]]/$G$202</f>
        <v>1</v>
      </c>
      <c r="I66" t="str">
        <f>IF(Table6[[#This Row],[total_risk_pct]]&gt;0.8%,"YES","NO")</f>
        <v>YES</v>
      </c>
      <c r="J66">
        <f>IF(Table6[[#This Row],[loan_amount]]&gt;70000,2,1)</f>
        <v>1</v>
      </c>
      <c r="K66">
        <f>Table6[[#This Row],[total_risk]]*Table6[[#This Row],[stress_multiplier]]</f>
        <v>1.5</v>
      </c>
      <c r="L66" s="5">
        <f>Table6[[#This Row],[stressed_total_risk]]/$K$202</f>
        <v>1</v>
      </c>
      <c r="M66">
        <f>AVERAGE(M1:M65)</f>
        <v>1.440624999999998</v>
      </c>
      <c r="N66" t="str">
        <f>_xlfn.XLOOKUP(Table6[[#This Row],[loan_id]],[1]!Loans[loan_id],[1]!Loans[loan_size_band])</f>
        <v>Medium</v>
      </c>
      <c r="O66" s="4">
        <f>Table6[[#This Row],[total_paid]]/Table6[[#This Row],[total_due]]</f>
        <v>0.16943521594684385</v>
      </c>
    </row>
    <row r="67" spans="1:15" x14ac:dyDescent="0.25">
      <c r="A67" t="s">
        <v>80</v>
      </c>
      <c r="B67">
        <f>_xlfn.XLOOKUP(Table6[[#This Row],[loan_id]],[1]!Loans[loan_id],[1]!Loans[loan_amount])</f>
        <v>300000</v>
      </c>
      <c r="C67" s="4">
        <f>(Table6[[#This Row],[loan_amount]]*(1+0.02/6))</f>
        <v>301000</v>
      </c>
      <c r="D67">
        <f>_xlfn.XLOOKUP(Table6[[#This Row],[loan_id]],[1]!Repayment[loan_id],[1]!Repayment[amount_paid])</f>
        <v>51000</v>
      </c>
      <c r="E67">
        <v>0</v>
      </c>
      <c r="F67">
        <f>_xlfn.XLOOKUP(Table6[[#This Row],[loan_id]],[1]!Loans[loan_id],[1]!Loans[structural_risk])</f>
        <v>0.8</v>
      </c>
      <c r="G67">
        <f>Table6[[#This Row],[behavioral_risk]]+Table6[[#This Row],[structural_risk]]</f>
        <v>0.8</v>
      </c>
      <c r="H67" s="5">
        <f>Table6[[#This Row],[total_risk]]/$G$202</f>
        <v>0.53333333333333333</v>
      </c>
      <c r="I67" t="str">
        <f>IF(Table6[[#This Row],[total_risk_pct]]&gt;0.8%,"YES","NO")</f>
        <v>YES</v>
      </c>
      <c r="J67">
        <f>IF(Table6[[#This Row],[loan_amount]]&gt;70000,2,1)</f>
        <v>2</v>
      </c>
      <c r="K67">
        <f>Table6[[#This Row],[total_risk]]*Table6[[#This Row],[stress_multiplier]]</f>
        <v>1.6</v>
      </c>
      <c r="L67" s="5">
        <f>Table6[[#This Row],[stressed_total_risk]]/$K$202</f>
        <v>1.0666666666666667</v>
      </c>
      <c r="M67">
        <f>Table6[[#This Row],[stressed_total_risk]]-Table6[[#This Row],[total_risk]]</f>
        <v>0.8</v>
      </c>
      <c r="N67" t="str">
        <f>_xlfn.XLOOKUP(Table6[[#This Row],[loan_id]],[1]!Loans[loan_id],[1]!Loans[loan_size_band])</f>
        <v>Large</v>
      </c>
      <c r="O67" s="4">
        <f>Table6[[#This Row],[total_paid]]/Table6[[#This Row],[total_due]]</f>
        <v>0.16943521594684385</v>
      </c>
    </row>
    <row r="68" spans="1:15" x14ac:dyDescent="0.25">
      <c r="A68" t="s">
        <v>81</v>
      </c>
      <c r="B68">
        <f>_xlfn.XLOOKUP(Table6[[#This Row],[loan_id]],[1]!Loans[loan_id],[1]!Loans[loan_amount])</f>
        <v>80000</v>
      </c>
      <c r="C68" s="4">
        <f>(Table6[[#This Row],[loan_amount]]*(1+0.02/6))</f>
        <v>80266.666666666672</v>
      </c>
      <c r="D68">
        <f>_xlfn.XLOOKUP(Table6[[#This Row],[loan_id]],[1]!Repayment[loan_id],[1]!Repayment[amount_paid])</f>
        <v>13600</v>
      </c>
      <c r="E68">
        <v>0</v>
      </c>
      <c r="F68">
        <f>_xlfn.XLOOKUP(Table6[[#This Row],[loan_id]],[1]!Loans[loan_id],[1]!Loans[structural_risk])</f>
        <v>0.8</v>
      </c>
      <c r="G68">
        <f>Table6[[#This Row],[behavioral_risk]]+Table6[[#This Row],[structural_risk]]</f>
        <v>0.8</v>
      </c>
      <c r="H68" s="5">
        <f>Table6[[#This Row],[total_risk]]/$G$202</f>
        <v>0.53333333333333333</v>
      </c>
      <c r="I68" t="str">
        <f>IF(Table6[[#This Row],[total_risk_pct]]&gt;0.8%,"YES","NO")</f>
        <v>YES</v>
      </c>
      <c r="J68">
        <f>IF(Table6[[#This Row],[loan_amount]]&gt;70000,2,1)</f>
        <v>2</v>
      </c>
      <c r="K68">
        <f>Table6[[#This Row],[total_risk]]*Table6[[#This Row],[stress_multiplier]]</f>
        <v>1.6</v>
      </c>
      <c r="L68" s="5">
        <f>Table6[[#This Row],[stressed_total_risk]]/$K$202</f>
        <v>1.0666666666666667</v>
      </c>
      <c r="M68">
        <f>Table6[[#This Row],[stressed_total_risk]]-Table6[[#This Row],[total_risk]]</f>
        <v>0.8</v>
      </c>
      <c r="N68" t="str">
        <f>_xlfn.XLOOKUP(Table6[[#This Row],[loan_id]],[1]!Loans[loan_id],[1]!Loans[loan_size_band])</f>
        <v>Large</v>
      </c>
      <c r="O68" s="4">
        <f>Table6[[#This Row],[total_paid]]/Table6[[#This Row],[total_due]]</f>
        <v>0.16943521594684385</v>
      </c>
    </row>
    <row r="69" spans="1:15" x14ac:dyDescent="0.25">
      <c r="A69" t="s">
        <v>82</v>
      </c>
      <c r="B69">
        <f>_xlfn.XLOOKUP(Table6[[#This Row],[loan_id]],[1]!Loans[loan_id],[1]!Loans[loan_amount])</f>
        <v>200000</v>
      </c>
      <c r="C69" s="4">
        <f>(Table6[[#This Row],[loan_amount]]*(1+0.02/6))</f>
        <v>200666.66666666669</v>
      </c>
      <c r="D69">
        <f>_xlfn.XLOOKUP(Table6[[#This Row],[loan_id]],[1]!Repayment[loan_id],[1]!Repayment[amount_paid])</f>
        <v>34000</v>
      </c>
      <c r="E69">
        <v>0</v>
      </c>
      <c r="F69">
        <f>_xlfn.XLOOKUP(Table6[[#This Row],[loan_id]],[1]!Loans[loan_id],[1]!Loans[structural_risk])</f>
        <v>0.8</v>
      </c>
      <c r="G69">
        <f>Table6[[#This Row],[behavioral_risk]]+Table6[[#This Row],[structural_risk]]</f>
        <v>0.8</v>
      </c>
      <c r="H69" s="5">
        <f>Table6[[#This Row],[total_risk]]/$G$202</f>
        <v>0.53333333333333333</v>
      </c>
      <c r="I69" t="str">
        <f>IF(Table6[[#This Row],[total_risk_pct]]&gt;0.8%,"YES","NO")</f>
        <v>YES</v>
      </c>
      <c r="J69">
        <f>IF(Table6[[#This Row],[loan_amount]]&gt;70000,2,1)</f>
        <v>2</v>
      </c>
      <c r="K69">
        <f>Table6[[#This Row],[total_risk]]*Table6[[#This Row],[stress_multiplier]]</f>
        <v>1.6</v>
      </c>
      <c r="L69" s="5">
        <f>Table6[[#This Row],[stressed_total_risk]]/$K$202</f>
        <v>1.0666666666666667</v>
      </c>
      <c r="M69">
        <f>Table6[[#This Row],[stressed_total_risk]]-Table6[[#This Row],[total_risk]]</f>
        <v>0.8</v>
      </c>
      <c r="N69" t="str">
        <f>_xlfn.XLOOKUP(Table6[[#This Row],[loan_id]],[1]!Loans[loan_id],[1]!Loans[loan_size_band])</f>
        <v>Large</v>
      </c>
      <c r="O69" s="4">
        <f>Table6[[#This Row],[total_paid]]/Table6[[#This Row],[total_due]]</f>
        <v>0.16943521594684383</v>
      </c>
    </row>
    <row r="70" spans="1:15" x14ac:dyDescent="0.25">
      <c r="A70" t="s">
        <v>83</v>
      </c>
      <c r="B70">
        <f>_xlfn.XLOOKUP(Table6[[#This Row],[loan_id]],[1]!Loans[loan_id],[1]!Loans[loan_amount])</f>
        <v>450000</v>
      </c>
      <c r="C70" s="4">
        <f>(Table6[[#This Row],[loan_amount]]*(1+0.02/6))</f>
        <v>451500.00000000006</v>
      </c>
      <c r="D70">
        <f>_xlfn.XLOOKUP(Table6[[#This Row],[loan_id]],[1]!Repayment[loan_id],[1]!Repayment[amount_paid])</f>
        <v>76500</v>
      </c>
      <c r="E70">
        <v>0</v>
      </c>
      <c r="F70">
        <f>_xlfn.XLOOKUP(Table6[[#This Row],[loan_id]],[1]!Loans[loan_id],[1]!Loans[structural_risk])</f>
        <v>0.8</v>
      </c>
      <c r="G70">
        <f>Table6[[#This Row],[behavioral_risk]]+Table6[[#This Row],[structural_risk]]</f>
        <v>0.8</v>
      </c>
      <c r="H70" s="5">
        <f>Table6[[#This Row],[total_risk]]/$G$202</f>
        <v>0.53333333333333333</v>
      </c>
      <c r="I70" t="str">
        <f>IF(Table6[[#This Row],[total_risk_pct]]&gt;0.8%,"YES","NO")</f>
        <v>YES</v>
      </c>
      <c r="J70">
        <f>IF(Table6[[#This Row],[loan_amount]]&gt;70000,2,1)</f>
        <v>2</v>
      </c>
      <c r="K70">
        <f>Table6[[#This Row],[total_risk]]*Table6[[#This Row],[stress_multiplier]]</f>
        <v>1.6</v>
      </c>
      <c r="L70" s="5">
        <f>Table6[[#This Row],[stressed_total_risk]]/$K$202</f>
        <v>1.0666666666666667</v>
      </c>
      <c r="M70">
        <f>Table6[[#This Row],[stressed_total_risk]]-Table6[[#This Row],[total_risk]]</f>
        <v>0.8</v>
      </c>
      <c r="N70" t="str">
        <f>_xlfn.XLOOKUP(Table6[[#This Row],[loan_id]],[1]!Loans[loan_id],[1]!Loans[loan_size_band])</f>
        <v>Large</v>
      </c>
      <c r="O70" s="4">
        <f>Table6[[#This Row],[total_paid]]/Table6[[#This Row],[total_due]]</f>
        <v>0.16943521594684383</v>
      </c>
    </row>
    <row r="71" spans="1:15" x14ac:dyDescent="0.25">
      <c r="A71" t="s">
        <v>84</v>
      </c>
      <c r="B71">
        <f>_xlfn.XLOOKUP(Table6[[#This Row],[loan_id]],[1]!Loans[loan_id],[1]!Loans[loan_amount])</f>
        <v>320000</v>
      </c>
      <c r="C71" s="4">
        <f>(Table6[[#This Row],[loan_amount]]*(1+0.02/6))</f>
        <v>321066.66666666669</v>
      </c>
      <c r="D71">
        <f>_xlfn.XLOOKUP(Table6[[#This Row],[loan_id]],[1]!Repayment[loan_id],[1]!Repayment[amount_paid])</f>
        <v>54400</v>
      </c>
      <c r="E71">
        <v>0</v>
      </c>
      <c r="F71">
        <f>_xlfn.XLOOKUP(Table6[[#This Row],[loan_id]],[1]!Loans[loan_id],[1]!Loans[structural_risk])</f>
        <v>0.8</v>
      </c>
      <c r="G71">
        <f>Table6[[#This Row],[behavioral_risk]]+Table6[[#This Row],[structural_risk]]</f>
        <v>0.8</v>
      </c>
      <c r="H71" s="5">
        <f>Table6[[#This Row],[total_risk]]/$G$202</f>
        <v>0.53333333333333333</v>
      </c>
      <c r="I71" t="str">
        <f>IF(Table6[[#This Row],[total_risk_pct]]&gt;0.8%,"YES","NO")</f>
        <v>YES</v>
      </c>
      <c r="J71">
        <f>IF(Table6[[#This Row],[loan_amount]]&gt;70000,2,1)</f>
        <v>2</v>
      </c>
      <c r="K71">
        <f>Table6[[#This Row],[total_risk]]*Table6[[#This Row],[stress_multiplier]]</f>
        <v>1.6</v>
      </c>
      <c r="L71" s="5">
        <f>Table6[[#This Row],[stressed_total_risk]]/$K$202</f>
        <v>1.0666666666666667</v>
      </c>
      <c r="M71">
        <f>Table6[[#This Row],[stressed_total_risk]]-Table6[[#This Row],[total_risk]]</f>
        <v>0.8</v>
      </c>
      <c r="N71" t="str">
        <f>_xlfn.XLOOKUP(Table6[[#This Row],[loan_id]],[1]!Loans[loan_id],[1]!Loans[loan_size_band])</f>
        <v>Large</v>
      </c>
      <c r="O71" s="4">
        <f>Table6[[#This Row],[total_paid]]/Table6[[#This Row],[total_due]]</f>
        <v>0.16943521594684385</v>
      </c>
    </row>
    <row r="72" spans="1:15" x14ac:dyDescent="0.25">
      <c r="A72" t="s">
        <v>85</v>
      </c>
      <c r="B72">
        <f>_xlfn.XLOOKUP(Table6[[#This Row],[loan_id]],[1]!Loans[loan_id],[1]!Loans[loan_amount])</f>
        <v>500000</v>
      </c>
      <c r="C72" s="4">
        <f>(Table6[[#This Row],[loan_amount]]*(1+0.02/6))</f>
        <v>501666.66666666669</v>
      </c>
      <c r="D72">
        <f>_xlfn.XLOOKUP(Table6[[#This Row],[loan_id]],[1]!Repayment[loan_id],[1]!Repayment[amount_paid])</f>
        <v>85000</v>
      </c>
      <c r="E72">
        <v>0</v>
      </c>
      <c r="F72">
        <f>_xlfn.XLOOKUP(Table6[[#This Row],[loan_id]],[1]!Loans[loan_id],[1]!Loans[structural_risk])</f>
        <v>0.8</v>
      </c>
      <c r="G72">
        <f>Table6[[#This Row],[behavioral_risk]]+Table6[[#This Row],[structural_risk]]</f>
        <v>0.8</v>
      </c>
      <c r="H72" s="5">
        <f>Table6[[#This Row],[total_risk]]/$G$202</f>
        <v>0.53333333333333333</v>
      </c>
      <c r="I72" t="str">
        <f>IF(Table6[[#This Row],[total_risk_pct]]&gt;0.8%,"YES","NO")</f>
        <v>YES</v>
      </c>
      <c r="J72">
        <f>IF(Table6[[#This Row],[loan_amount]]&gt;70000,2,1)</f>
        <v>2</v>
      </c>
      <c r="K72">
        <f>Table6[[#This Row],[total_risk]]*Table6[[#This Row],[stress_multiplier]]</f>
        <v>1.6</v>
      </c>
      <c r="L72" s="5">
        <f>Table6[[#This Row],[stressed_total_risk]]/$K$202</f>
        <v>1.0666666666666667</v>
      </c>
      <c r="M72">
        <f>Table6[[#This Row],[stressed_total_risk]]-Table6[[#This Row],[total_risk]]</f>
        <v>0.8</v>
      </c>
      <c r="N72" t="str">
        <f>_xlfn.XLOOKUP(Table6[[#This Row],[loan_id]],[1]!Loans[loan_id],[1]!Loans[loan_size_band])</f>
        <v>Large</v>
      </c>
      <c r="O72" s="4">
        <f>Table6[[#This Row],[total_paid]]/Table6[[#This Row],[total_due]]</f>
        <v>0.16943521594684385</v>
      </c>
    </row>
    <row r="73" spans="1:15" x14ac:dyDescent="0.25">
      <c r="A73" t="s">
        <v>86</v>
      </c>
      <c r="B73">
        <f>_xlfn.XLOOKUP(Table6[[#This Row],[loan_id]],[1]!Loans[loan_id],[1]!Loans[loan_amount])</f>
        <v>170000</v>
      </c>
      <c r="C73" s="4">
        <f>(Table6[[#This Row],[loan_amount]]*(1+0.02/6))</f>
        <v>170566.66666666669</v>
      </c>
      <c r="D73">
        <f>_xlfn.XLOOKUP(Table6[[#This Row],[loan_id]],[1]!Repayment[loan_id],[1]!Repayment[amount_paid])</f>
        <v>28900</v>
      </c>
      <c r="E73">
        <v>0</v>
      </c>
      <c r="F73">
        <f>_xlfn.XLOOKUP(Table6[[#This Row],[loan_id]],[1]!Loans[loan_id],[1]!Loans[structural_risk])</f>
        <v>0.8</v>
      </c>
      <c r="G73">
        <f>Table6[[#This Row],[behavioral_risk]]+Table6[[#This Row],[structural_risk]]</f>
        <v>0.8</v>
      </c>
      <c r="H73" s="5">
        <f>Table6[[#This Row],[total_risk]]/$G$202</f>
        <v>0.53333333333333333</v>
      </c>
      <c r="I73" t="str">
        <f>IF(Table6[[#This Row],[total_risk_pct]]&gt;0.8%,"YES","NO")</f>
        <v>YES</v>
      </c>
      <c r="J73">
        <f>IF(Table6[[#This Row],[loan_amount]]&gt;70000,2,1)</f>
        <v>2</v>
      </c>
      <c r="K73">
        <f>Table6[[#This Row],[total_risk]]*Table6[[#This Row],[stress_multiplier]]</f>
        <v>1.6</v>
      </c>
      <c r="L73" s="5">
        <f>Table6[[#This Row],[stressed_total_risk]]/$K$202</f>
        <v>1.0666666666666667</v>
      </c>
      <c r="M73">
        <f>Table6[[#This Row],[stressed_total_risk]]-Table6[[#This Row],[total_risk]]</f>
        <v>0.8</v>
      </c>
      <c r="N73" t="str">
        <f>_xlfn.XLOOKUP(Table6[[#This Row],[loan_id]],[1]!Loans[loan_id],[1]!Loans[loan_size_band])</f>
        <v>Large</v>
      </c>
      <c r="O73" s="4">
        <f>Table6[[#This Row],[total_paid]]/Table6[[#This Row],[total_due]]</f>
        <v>0.16943521594684383</v>
      </c>
    </row>
    <row r="74" spans="1:15" x14ac:dyDescent="0.25">
      <c r="A74" t="s">
        <v>87</v>
      </c>
      <c r="B74">
        <f>_xlfn.XLOOKUP(Table6[[#This Row],[loan_id]],[1]!Loans[loan_id],[1]!Loans[loan_amount])</f>
        <v>260000</v>
      </c>
      <c r="C74" s="4">
        <f>(Table6[[#This Row],[loan_amount]]*(1+0.02/6))</f>
        <v>260866.66666666669</v>
      </c>
      <c r="D74">
        <f>_xlfn.XLOOKUP(Table6[[#This Row],[loan_id]],[1]!Repayment[loan_id],[1]!Repayment[amount_paid])</f>
        <v>44200</v>
      </c>
      <c r="E74">
        <v>0</v>
      </c>
      <c r="F74">
        <f>_xlfn.XLOOKUP(Table6[[#This Row],[loan_id]],[1]!Loans[loan_id],[1]!Loans[structural_risk])</f>
        <v>0.8</v>
      </c>
      <c r="G74">
        <f>Table6[[#This Row],[behavioral_risk]]+Table6[[#This Row],[structural_risk]]</f>
        <v>0.8</v>
      </c>
      <c r="H74" s="5">
        <f>Table6[[#This Row],[total_risk]]/$G$202</f>
        <v>0.53333333333333333</v>
      </c>
      <c r="I74" t="str">
        <f>IF(Table6[[#This Row],[total_risk_pct]]&gt;0.8%,"YES","NO")</f>
        <v>YES</v>
      </c>
      <c r="J74">
        <f>IF(Table6[[#This Row],[loan_amount]]&gt;70000,2,1)</f>
        <v>2</v>
      </c>
      <c r="K74">
        <f>Table6[[#This Row],[total_risk]]*Table6[[#This Row],[stress_multiplier]]</f>
        <v>1.6</v>
      </c>
      <c r="L74" s="5">
        <f>Table6[[#This Row],[stressed_total_risk]]/$K$202</f>
        <v>1.0666666666666667</v>
      </c>
      <c r="M74">
        <f>Table6[[#This Row],[stressed_total_risk]]-Table6[[#This Row],[total_risk]]</f>
        <v>0.8</v>
      </c>
      <c r="N74" t="str">
        <f>_xlfn.XLOOKUP(Table6[[#This Row],[loan_id]],[1]!Loans[loan_id],[1]!Loans[loan_size_band])</f>
        <v>Large</v>
      </c>
      <c r="O74" s="4">
        <f>Table6[[#This Row],[total_paid]]/Table6[[#This Row],[total_due]]</f>
        <v>0.16943521594684385</v>
      </c>
    </row>
    <row r="75" spans="1:15" x14ac:dyDescent="0.25">
      <c r="A75" t="s">
        <v>88</v>
      </c>
      <c r="B75">
        <f>_xlfn.XLOOKUP(Table6[[#This Row],[loan_id]],[1]!Loans[loan_id],[1]!Loans[loan_amount])</f>
        <v>100000</v>
      </c>
      <c r="C75" s="4">
        <f>(Table6[[#This Row],[loan_amount]]*(1+0.02/6))</f>
        <v>100333.33333333334</v>
      </c>
      <c r="D75">
        <f>_xlfn.XLOOKUP(Table6[[#This Row],[loan_id]],[1]!Repayment[loan_id],[1]!Repayment[amount_paid])</f>
        <v>17000</v>
      </c>
      <c r="E75">
        <v>0</v>
      </c>
      <c r="F75">
        <f>_xlfn.XLOOKUP(Table6[[#This Row],[loan_id]],[1]!Loans[loan_id],[1]!Loans[structural_risk])</f>
        <v>0.8</v>
      </c>
      <c r="G75">
        <f>Table6[[#This Row],[behavioral_risk]]+Table6[[#This Row],[structural_risk]]</f>
        <v>0.8</v>
      </c>
      <c r="H75" s="5">
        <f>Table6[[#This Row],[total_risk]]/$G$202</f>
        <v>0.53333333333333333</v>
      </c>
      <c r="I75" t="str">
        <f>IF(Table6[[#This Row],[total_risk_pct]]&gt;0.8%,"YES","NO")</f>
        <v>YES</v>
      </c>
      <c r="J75">
        <f>IF(Table6[[#This Row],[loan_amount]]&gt;70000,2,1)</f>
        <v>2</v>
      </c>
      <c r="K75">
        <f>Table6[[#This Row],[total_risk]]*Table6[[#This Row],[stress_multiplier]]</f>
        <v>1.6</v>
      </c>
      <c r="L75" s="5">
        <f>Table6[[#This Row],[stressed_total_risk]]/$K$202</f>
        <v>1.0666666666666667</v>
      </c>
      <c r="M75">
        <f>Table6[[#This Row],[stressed_total_risk]]-Table6[[#This Row],[total_risk]]</f>
        <v>0.8</v>
      </c>
      <c r="N75" t="str">
        <f>_xlfn.XLOOKUP(Table6[[#This Row],[loan_id]],[1]!Loans[loan_id],[1]!Loans[loan_size_band])</f>
        <v>Large</v>
      </c>
      <c r="O75" s="4">
        <f>Table6[[#This Row],[total_paid]]/Table6[[#This Row],[total_due]]</f>
        <v>0.16943521594684383</v>
      </c>
    </row>
    <row r="76" spans="1:15" x14ac:dyDescent="0.25">
      <c r="A76" t="s">
        <v>89</v>
      </c>
      <c r="B76">
        <f>_xlfn.XLOOKUP(Table6[[#This Row],[loan_id]],[1]!Loans[loan_id],[1]!Loans[loan_amount])</f>
        <v>110000</v>
      </c>
      <c r="C76" s="4">
        <f>(Table6[[#This Row],[loan_amount]]*(1+0.02/6))</f>
        <v>110366.66666666667</v>
      </c>
      <c r="D76">
        <f>_xlfn.XLOOKUP(Table6[[#This Row],[loan_id]],[1]!Repayment[loan_id],[1]!Repayment[amount_paid])</f>
        <v>18700</v>
      </c>
      <c r="E76">
        <v>0</v>
      </c>
      <c r="F76">
        <f>_xlfn.XLOOKUP(Table6[[#This Row],[loan_id]],[1]!Loans[loan_id],[1]!Loans[structural_risk])</f>
        <v>0.8</v>
      </c>
      <c r="G76">
        <f>Table6[[#This Row],[behavioral_risk]]+Table6[[#This Row],[structural_risk]]</f>
        <v>0.8</v>
      </c>
      <c r="H76" s="5">
        <f>Table6[[#This Row],[total_risk]]/$G$202</f>
        <v>0.53333333333333333</v>
      </c>
      <c r="I76" t="str">
        <f>IF(Table6[[#This Row],[total_risk_pct]]&gt;0.8%,"YES","NO")</f>
        <v>YES</v>
      </c>
      <c r="J76">
        <f>IF(Table6[[#This Row],[loan_amount]]&gt;70000,2,1)</f>
        <v>2</v>
      </c>
      <c r="K76">
        <f>Table6[[#This Row],[total_risk]]*Table6[[#This Row],[stress_multiplier]]</f>
        <v>1.6</v>
      </c>
      <c r="L76" s="5">
        <f>Table6[[#This Row],[stressed_total_risk]]/$K$202</f>
        <v>1.0666666666666667</v>
      </c>
      <c r="M76">
        <f>Table6[[#This Row],[stressed_total_risk]]-Table6[[#This Row],[total_risk]]</f>
        <v>0.8</v>
      </c>
      <c r="N76" t="str">
        <f>_xlfn.XLOOKUP(Table6[[#This Row],[loan_id]],[1]!Loans[loan_id],[1]!Loans[loan_size_band])</f>
        <v>Large</v>
      </c>
      <c r="O76" s="4">
        <f>Table6[[#This Row],[total_paid]]/Table6[[#This Row],[total_due]]</f>
        <v>0.16943521594684385</v>
      </c>
    </row>
    <row r="77" spans="1:15" x14ac:dyDescent="0.25">
      <c r="A77" t="s">
        <v>90</v>
      </c>
      <c r="B77">
        <f>_xlfn.XLOOKUP(Table6[[#This Row],[loan_id]],[1]!Loans[loan_id],[1]!Loans[loan_amount])</f>
        <v>300000</v>
      </c>
      <c r="C77" s="4">
        <f>(Table6[[#This Row],[loan_amount]]*(1+0.02/6))</f>
        <v>301000</v>
      </c>
      <c r="D77">
        <f>_xlfn.XLOOKUP(Table6[[#This Row],[loan_id]],[1]!Repayment[loan_id],[1]!Repayment[amount_paid])</f>
        <v>51000</v>
      </c>
      <c r="E77">
        <v>0</v>
      </c>
      <c r="F77">
        <f>_xlfn.XLOOKUP(Table6[[#This Row],[loan_id]],[1]!Loans[loan_id],[1]!Loans[structural_risk])</f>
        <v>0.8</v>
      </c>
      <c r="G77">
        <f>Table6[[#This Row],[behavioral_risk]]+Table6[[#This Row],[structural_risk]]</f>
        <v>0.8</v>
      </c>
      <c r="H77" s="5">
        <f>Table6[[#This Row],[total_risk]]/$G$202</f>
        <v>0.53333333333333333</v>
      </c>
      <c r="I77" t="str">
        <f>IF(Table6[[#This Row],[total_risk_pct]]&gt;0.8%,"YES","NO")</f>
        <v>YES</v>
      </c>
      <c r="J77">
        <f>IF(Table6[[#This Row],[loan_amount]]&gt;70000,2,1)</f>
        <v>2</v>
      </c>
      <c r="K77">
        <f>Table6[[#This Row],[total_risk]]*Table6[[#This Row],[stress_multiplier]]</f>
        <v>1.6</v>
      </c>
      <c r="L77" s="5">
        <f>Table6[[#This Row],[stressed_total_risk]]/$K$202</f>
        <v>1.0666666666666667</v>
      </c>
      <c r="M77">
        <f>Table6[[#This Row],[stressed_total_risk]]-Table6[[#This Row],[total_risk]]</f>
        <v>0.8</v>
      </c>
      <c r="N77" t="str">
        <f>_xlfn.XLOOKUP(Table6[[#This Row],[loan_id]],[1]!Loans[loan_id],[1]!Loans[loan_size_band])</f>
        <v>Large</v>
      </c>
      <c r="O77" s="4">
        <f>Table6[[#This Row],[total_paid]]/Table6[[#This Row],[total_due]]</f>
        <v>0.16943521594684385</v>
      </c>
    </row>
    <row r="78" spans="1:15" x14ac:dyDescent="0.25">
      <c r="A78" t="s">
        <v>91</v>
      </c>
      <c r="B78">
        <f>_xlfn.XLOOKUP(Table6[[#This Row],[loan_id]],[1]!Loans[loan_id],[1]!Loans[loan_amount])</f>
        <v>420000</v>
      </c>
      <c r="C78" s="4">
        <f>(Table6[[#This Row],[loan_amount]]*(1+0.02/6))</f>
        <v>421400.00000000006</v>
      </c>
      <c r="D78">
        <f>_xlfn.XLOOKUP(Table6[[#This Row],[loan_id]],[1]!Repayment[loan_id],[1]!Repayment[amount_paid])</f>
        <v>71400</v>
      </c>
      <c r="E78">
        <v>0</v>
      </c>
      <c r="F78">
        <f>_xlfn.XLOOKUP(Table6[[#This Row],[loan_id]],[1]!Loans[loan_id],[1]!Loans[structural_risk])</f>
        <v>0.8</v>
      </c>
      <c r="G78">
        <f>Table6[[#This Row],[behavioral_risk]]+Table6[[#This Row],[structural_risk]]</f>
        <v>0.8</v>
      </c>
      <c r="H78" s="5">
        <f>Table6[[#This Row],[total_risk]]/$G$202</f>
        <v>0.53333333333333333</v>
      </c>
      <c r="I78" t="str">
        <f>IF(Table6[[#This Row],[total_risk_pct]]&gt;0.8%,"YES","NO")</f>
        <v>YES</v>
      </c>
      <c r="J78">
        <f>IF(Table6[[#This Row],[loan_amount]]&gt;70000,2,1)</f>
        <v>2</v>
      </c>
      <c r="K78">
        <f>Table6[[#This Row],[total_risk]]*Table6[[#This Row],[stress_multiplier]]</f>
        <v>1.6</v>
      </c>
      <c r="L78" s="5">
        <f>Table6[[#This Row],[stressed_total_risk]]/$K$202</f>
        <v>1.0666666666666667</v>
      </c>
      <c r="M78">
        <f>Table6[[#This Row],[stressed_total_risk]]-Table6[[#This Row],[total_risk]]</f>
        <v>0.8</v>
      </c>
      <c r="N78" t="str">
        <f>_xlfn.XLOOKUP(Table6[[#This Row],[loan_id]],[1]!Loans[loan_id],[1]!Loans[loan_size_band])</f>
        <v>Large</v>
      </c>
      <c r="O78" s="4">
        <f>Table6[[#This Row],[total_paid]]/Table6[[#This Row],[total_due]]</f>
        <v>0.16943521594684383</v>
      </c>
    </row>
    <row r="79" spans="1:15" x14ac:dyDescent="0.25">
      <c r="A79" t="s">
        <v>92</v>
      </c>
      <c r="B79">
        <f>_xlfn.XLOOKUP(Table6[[#This Row],[loan_id]],[1]!Loans[loan_id],[1]!Loans[loan_amount])</f>
        <v>90000</v>
      </c>
      <c r="C79" s="4">
        <f>(Table6[[#This Row],[loan_amount]]*(1+0.02/6))</f>
        <v>90300</v>
      </c>
      <c r="D79">
        <f>_xlfn.XLOOKUP(Table6[[#This Row],[loan_id]],[1]!Repayment[loan_id],[1]!Repayment[amount_paid])</f>
        <v>15300</v>
      </c>
      <c r="E79">
        <v>0</v>
      </c>
      <c r="F79">
        <f>_xlfn.XLOOKUP(Table6[[#This Row],[loan_id]],[1]!Loans[loan_id],[1]!Loans[structural_risk])</f>
        <v>0.8</v>
      </c>
      <c r="G79">
        <f>Table6[[#This Row],[behavioral_risk]]+Table6[[#This Row],[structural_risk]]</f>
        <v>0.8</v>
      </c>
      <c r="H79" s="5">
        <f>Table6[[#This Row],[total_risk]]/$G$202</f>
        <v>0.53333333333333333</v>
      </c>
      <c r="I79" t="str">
        <f>IF(Table6[[#This Row],[total_risk_pct]]&gt;0.8%,"YES","NO")</f>
        <v>YES</v>
      </c>
      <c r="J79">
        <f>IF(Table6[[#This Row],[loan_amount]]&gt;70000,2,1)</f>
        <v>2</v>
      </c>
      <c r="K79">
        <f>Table6[[#This Row],[total_risk]]*Table6[[#This Row],[stress_multiplier]]</f>
        <v>1.6</v>
      </c>
      <c r="L79" s="5">
        <f>Table6[[#This Row],[stressed_total_risk]]/$K$202</f>
        <v>1.0666666666666667</v>
      </c>
      <c r="M79">
        <f>Table6[[#This Row],[stressed_total_risk]]-Table6[[#This Row],[total_risk]]</f>
        <v>0.8</v>
      </c>
      <c r="N79" t="str">
        <f>_xlfn.XLOOKUP(Table6[[#This Row],[loan_id]],[1]!Loans[loan_id],[1]!Loans[loan_size_band])</f>
        <v>Large</v>
      </c>
      <c r="O79" s="4">
        <f>Table6[[#This Row],[total_paid]]/Table6[[#This Row],[total_due]]</f>
        <v>0.16943521594684385</v>
      </c>
    </row>
    <row r="80" spans="1:15" x14ac:dyDescent="0.25">
      <c r="A80" t="s">
        <v>93</v>
      </c>
      <c r="B80">
        <f>_xlfn.XLOOKUP(Table6[[#This Row],[loan_id]],[1]!Loans[loan_id],[1]!Loans[loan_amount])</f>
        <v>240000</v>
      </c>
      <c r="C80" s="4">
        <f>(Table6[[#This Row],[loan_amount]]*(1+0.02/6))</f>
        <v>240800.00000000003</v>
      </c>
      <c r="D80">
        <f>_xlfn.XLOOKUP(Table6[[#This Row],[loan_id]],[1]!Repayment[loan_id],[1]!Repayment[amount_paid])</f>
        <v>40800</v>
      </c>
      <c r="E80">
        <v>0</v>
      </c>
      <c r="F80">
        <f>_xlfn.XLOOKUP(Table6[[#This Row],[loan_id]],[1]!Loans[loan_id],[1]!Loans[structural_risk])</f>
        <v>0.8</v>
      </c>
      <c r="G80">
        <f>Table6[[#This Row],[behavioral_risk]]+Table6[[#This Row],[structural_risk]]</f>
        <v>0.8</v>
      </c>
      <c r="H80" s="5">
        <f>Table6[[#This Row],[total_risk]]/$G$202</f>
        <v>0.53333333333333333</v>
      </c>
      <c r="I80" t="str">
        <f>IF(Table6[[#This Row],[total_risk_pct]]&gt;0.8%,"YES","NO")</f>
        <v>YES</v>
      </c>
      <c r="J80">
        <f>IF(Table6[[#This Row],[loan_amount]]&gt;70000,2,1)</f>
        <v>2</v>
      </c>
      <c r="K80">
        <f>Table6[[#This Row],[total_risk]]*Table6[[#This Row],[stress_multiplier]]</f>
        <v>1.6</v>
      </c>
      <c r="L80" s="5">
        <f>Table6[[#This Row],[stressed_total_risk]]/$K$202</f>
        <v>1.0666666666666667</v>
      </c>
      <c r="M80">
        <f>Table6[[#This Row],[stressed_total_risk]]-Table6[[#This Row],[total_risk]]</f>
        <v>0.8</v>
      </c>
      <c r="N80" t="str">
        <f>_xlfn.XLOOKUP(Table6[[#This Row],[loan_id]],[1]!Loans[loan_id],[1]!Loans[loan_size_band])</f>
        <v>Large</v>
      </c>
      <c r="O80" s="4">
        <f>Table6[[#This Row],[total_paid]]/Table6[[#This Row],[total_due]]</f>
        <v>0.16943521594684383</v>
      </c>
    </row>
    <row r="81" spans="1:15" x14ac:dyDescent="0.25">
      <c r="A81" t="s">
        <v>94</v>
      </c>
      <c r="B81">
        <f>_xlfn.XLOOKUP(Table6[[#This Row],[loan_id]],[1]!Loans[loan_id],[1]!Loans[loan_amount])</f>
        <v>170000</v>
      </c>
      <c r="C81" s="4">
        <f>(Table6[[#This Row],[loan_amount]]*(1+0.02/6))</f>
        <v>170566.66666666669</v>
      </c>
      <c r="D81">
        <f>_xlfn.XLOOKUP(Table6[[#This Row],[loan_id]],[1]!Repayment[loan_id],[1]!Repayment[amount_paid])</f>
        <v>28900</v>
      </c>
      <c r="E81">
        <v>0</v>
      </c>
      <c r="F81">
        <f>_xlfn.XLOOKUP(Table6[[#This Row],[loan_id]],[1]!Loans[loan_id],[1]!Loans[structural_risk])</f>
        <v>0.8</v>
      </c>
      <c r="G81">
        <f>Table6[[#This Row],[behavioral_risk]]+Table6[[#This Row],[structural_risk]]</f>
        <v>0.8</v>
      </c>
      <c r="H81" s="5">
        <f>Table6[[#This Row],[total_risk]]/$G$202</f>
        <v>0.53333333333333333</v>
      </c>
      <c r="I81" t="str">
        <f>IF(Table6[[#This Row],[total_risk_pct]]&gt;0.8%,"YES","NO")</f>
        <v>YES</v>
      </c>
      <c r="J81">
        <f>IF(Table6[[#This Row],[loan_amount]]&gt;70000,2,1)</f>
        <v>2</v>
      </c>
      <c r="K81">
        <f>Table6[[#This Row],[total_risk]]*Table6[[#This Row],[stress_multiplier]]</f>
        <v>1.6</v>
      </c>
      <c r="L81" s="5">
        <f>Table6[[#This Row],[stressed_total_risk]]/$K$202</f>
        <v>1.0666666666666667</v>
      </c>
      <c r="M81">
        <f>Table6[[#This Row],[stressed_total_risk]]-Table6[[#This Row],[total_risk]]</f>
        <v>0.8</v>
      </c>
      <c r="N81" t="str">
        <f>_xlfn.XLOOKUP(Table6[[#This Row],[loan_id]],[1]!Loans[loan_id],[1]!Loans[loan_size_band])</f>
        <v>Large</v>
      </c>
      <c r="O81" s="4">
        <f>Table6[[#This Row],[total_paid]]/Table6[[#This Row],[total_due]]</f>
        <v>0.16943521594684383</v>
      </c>
    </row>
    <row r="82" spans="1:15" x14ac:dyDescent="0.25">
      <c r="A82" t="s">
        <v>95</v>
      </c>
      <c r="B82">
        <f>_xlfn.XLOOKUP(Table6[[#This Row],[loan_id]],[1]!Loans[loan_id],[1]!Loans[loan_amount])</f>
        <v>210000</v>
      </c>
      <c r="C82" s="4">
        <f>(Table6[[#This Row],[loan_amount]]*(1+0.02/6))</f>
        <v>210700.00000000003</v>
      </c>
      <c r="D82">
        <f>_xlfn.XLOOKUP(Table6[[#This Row],[loan_id]],[1]!Repayment[loan_id],[1]!Repayment[amount_paid])</f>
        <v>35700</v>
      </c>
      <c r="E82">
        <v>0</v>
      </c>
      <c r="F82">
        <f>_xlfn.XLOOKUP(Table6[[#This Row],[loan_id]],[1]!Loans[loan_id],[1]!Loans[structural_risk])</f>
        <v>0.8</v>
      </c>
      <c r="G82">
        <f>Table6[[#This Row],[behavioral_risk]]+Table6[[#This Row],[structural_risk]]</f>
        <v>0.8</v>
      </c>
      <c r="H82" s="5">
        <f>Table6[[#This Row],[total_risk]]/$G$202</f>
        <v>0.53333333333333333</v>
      </c>
      <c r="I82" t="str">
        <f>IF(Table6[[#This Row],[total_risk_pct]]&gt;0.8%,"YES","NO")</f>
        <v>YES</v>
      </c>
      <c r="J82">
        <f>IF(Table6[[#This Row],[loan_amount]]&gt;70000,2,1)</f>
        <v>2</v>
      </c>
      <c r="K82">
        <f>Table6[[#This Row],[total_risk]]*Table6[[#This Row],[stress_multiplier]]</f>
        <v>1.6</v>
      </c>
      <c r="L82" s="5">
        <f>Table6[[#This Row],[stressed_total_risk]]/$K$202</f>
        <v>1.0666666666666667</v>
      </c>
      <c r="M82">
        <f>Table6[[#This Row],[stressed_total_risk]]-Table6[[#This Row],[total_risk]]</f>
        <v>0.8</v>
      </c>
      <c r="N82" t="str">
        <f>_xlfn.XLOOKUP(Table6[[#This Row],[loan_id]],[1]!Loans[loan_id],[1]!Loans[loan_size_band])</f>
        <v>Large</v>
      </c>
      <c r="O82" s="4">
        <f>Table6[[#This Row],[total_paid]]/Table6[[#This Row],[total_due]]</f>
        <v>0.16943521594684383</v>
      </c>
    </row>
    <row r="83" spans="1:15" x14ac:dyDescent="0.25">
      <c r="A83" t="s">
        <v>96</v>
      </c>
      <c r="B83">
        <f>_xlfn.XLOOKUP(Table6[[#This Row],[loan_id]],[1]!Loans[loan_id],[1]!Loans[loan_amount])</f>
        <v>230000</v>
      </c>
      <c r="C83" s="4">
        <f>(Table6[[#This Row],[loan_amount]]*(1+0.02/6))</f>
        <v>230766.66666666669</v>
      </c>
      <c r="D83">
        <f>_xlfn.XLOOKUP(Table6[[#This Row],[loan_id]],[1]!Repayment[loan_id],[1]!Repayment[amount_paid])</f>
        <v>39100</v>
      </c>
      <c r="E83">
        <v>0</v>
      </c>
      <c r="F83">
        <f>_xlfn.XLOOKUP(Table6[[#This Row],[loan_id]],[1]!Loans[loan_id],[1]!Loans[structural_risk])</f>
        <v>0.8</v>
      </c>
      <c r="G83">
        <f>Table6[[#This Row],[behavioral_risk]]+Table6[[#This Row],[structural_risk]]</f>
        <v>0.8</v>
      </c>
      <c r="H83" s="5">
        <f>Table6[[#This Row],[total_risk]]/$G$202</f>
        <v>0.53333333333333333</v>
      </c>
      <c r="I83" t="str">
        <f>IF(Table6[[#This Row],[total_risk_pct]]&gt;0.8%,"YES","NO")</f>
        <v>YES</v>
      </c>
      <c r="J83">
        <f>IF(Table6[[#This Row],[loan_amount]]&gt;70000,2,1)</f>
        <v>2</v>
      </c>
      <c r="K83">
        <f>Table6[[#This Row],[total_risk]]*Table6[[#This Row],[stress_multiplier]]</f>
        <v>1.6</v>
      </c>
      <c r="L83" s="5">
        <f>Table6[[#This Row],[stressed_total_risk]]/$K$202</f>
        <v>1.0666666666666667</v>
      </c>
      <c r="M83">
        <f>Table6[[#This Row],[stressed_total_risk]]-Table6[[#This Row],[total_risk]]</f>
        <v>0.8</v>
      </c>
      <c r="N83" t="str">
        <f>_xlfn.XLOOKUP(Table6[[#This Row],[loan_id]],[1]!Loans[loan_id],[1]!Loans[loan_size_band])</f>
        <v>Large</v>
      </c>
      <c r="O83" s="4">
        <f>Table6[[#This Row],[total_paid]]/Table6[[#This Row],[total_due]]</f>
        <v>0.16943521594684385</v>
      </c>
    </row>
    <row r="84" spans="1:15" x14ac:dyDescent="0.25">
      <c r="A84" t="s">
        <v>97</v>
      </c>
      <c r="B84">
        <f>_xlfn.XLOOKUP(Table6[[#This Row],[loan_id]],[1]!Loans[loan_id],[1]!Loans[loan_amount])</f>
        <v>180000</v>
      </c>
      <c r="C84" s="4">
        <f>(Table6[[#This Row],[loan_amount]]*(1+0.02/6))</f>
        <v>180600</v>
      </c>
      <c r="D84">
        <f>_xlfn.XLOOKUP(Table6[[#This Row],[loan_id]],[1]!Repayment[loan_id],[1]!Repayment[amount_paid])</f>
        <v>30600</v>
      </c>
      <c r="E84">
        <v>0</v>
      </c>
      <c r="F84">
        <f>_xlfn.XLOOKUP(Table6[[#This Row],[loan_id]],[1]!Loans[loan_id],[1]!Loans[structural_risk])</f>
        <v>0.8</v>
      </c>
      <c r="G84">
        <f>Table6[[#This Row],[behavioral_risk]]+Table6[[#This Row],[structural_risk]]</f>
        <v>0.8</v>
      </c>
      <c r="H84" s="5">
        <f>Table6[[#This Row],[total_risk]]/$G$202</f>
        <v>0.53333333333333333</v>
      </c>
      <c r="I84" t="str">
        <f>IF(Table6[[#This Row],[total_risk_pct]]&gt;0.8%,"YES","NO")</f>
        <v>YES</v>
      </c>
      <c r="J84">
        <f>IF(Table6[[#This Row],[loan_amount]]&gt;70000,2,1)</f>
        <v>2</v>
      </c>
      <c r="K84">
        <f>Table6[[#This Row],[total_risk]]*Table6[[#This Row],[stress_multiplier]]</f>
        <v>1.6</v>
      </c>
      <c r="L84" s="5">
        <f>Table6[[#This Row],[stressed_total_risk]]/$K$202</f>
        <v>1.0666666666666667</v>
      </c>
      <c r="M84">
        <f>Table6[[#This Row],[stressed_total_risk]]-Table6[[#This Row],[total_risk]]</f>
        <v>0.8</v>
      </c>
      <c r="N84" t="str">
        <f>_xlfn.XLOOKUP(Table6[[#This Row],[loan_id]],[1]!Loans[loan_id],[1]!Loans[loan_size_band])</f>
        <v>Large</v>
      </c>
      <c r="O84" s="4">
        <f>Table6[[#This Row],[total_paid]]/Table6[[#This Row],[total_due]]</f>
        <v>0.16943521594684385</v>
      </c>
    </row>
    <row r="85" spans="1:15" x14ac:dyDescent="0.25">
      <c r="A85" t="s">
        <v>98</v>
      </c>
      <c r="B85">
        <f>_xlfn.XLOOKUP(Table6[[#This Row],[loan_id]],[1]!Loans[loan_id],[1]!Loans[loan_amount])</f>
        <v>410000</v>
      </c>
      <c r="C85" s="4">
        <f>(Table6[[#This Row],[loan_amount]]*(1+0.02/6))</f>
        <v>411366.66666666669</v>
      </c>
      <c r="D85">
        <f>_xlfn.XLOOKUP(Table6[[#This Row],[loan_id]],[1]!Repayment[loan_id],[1]!Repayment[amount_paid])</f>
        <v>69700</v>
      </c>
      <c r="E85">
        <v>0</v>
      </c>
      <c r="F85">
        <f>_xlfn.XLOOKUP(Table6[[#This Row],[loan_id]],[1]!Loans[loan_id],[1]!Loans[structural_risk])</f>
        <v>0.8</v>
      </c>
      <c r="G85">
        <f>Table6[[#This Row],[behavioral_risk]]+Table6[[#This Row],[structural_risk]]</f>
        <v>0.8</v>
      </c>
      <c r="H85" s="5">
        <f>Table6[[#This Row],[total_risk]]/$G$202</f>
        <v>0.53333333333333333</v>
      </c>
      <c r="I85" t="str">
        <f>IF(Table6[[#This Row],[total_risk_pct]]&gt;0.8%,"YES","NO")</f>
        <v>YES</v>
      </c>
      <c r="J85">
        <f>IF(Table6[[#This Row],[loan_amount]]&gt;70000,2,1)</f>
        <v>2</v>
      </c>
      <c r="K85">
        <f>Table6[[#This Row],[total_risk]]*Table6[[#This Row],[stress_multiplier]]</f>
        <v>1.6</v>
      </c>
      <c r="L85" s="5">
        <f>Table6[[#This Row],[stressed_total_risk]]/$K$202</f>
        <v>1.0666666666666667</v>
      </c>
      <c r="M85">
        <f>Table6[[#This Row],[stressed_total_risk]]-Table6[[#This Row],[total_risk]]</f>
        <v>0.8</v>
      </c>
      <c r="N85" t="str">
        <f>_xlfn.XLOOKUP(Table6[[#This Row],[loan_id]],[1]!Loans[loan_id],[1]!Loans[loan_size_band])</f>
        <v>Large</v>
      </c>
      <c r="O85" s="4">
        <f>Table6[[#This Row],[total_paid]]/Table6[[#This Row],[total_due]]</f>
        <v>0.16943521594684385</v>
      </c>
    </row>
    <row r="86" spans="1:15" x14ac:dyDescent="0.25">
      <c r="A86" t="s">
        <v>99</v>
      </c>
      <c r="B86">
        <f>_xlfn.XLOOKUP(Table6[[#This Row],[loan_id]],[1]!Loans[loan_id],[1]!Loans[loan_amount])</f>
        <v>180000</v>
      </c>
      <c r="C86" s="4">
        <f>(Table6[[#This Row],[loan_amount]]*(1+0.02/6))</f>
        <v>180600</v>
      </c>
      <c r="D86">
        <f>_xlfn.XLOOKUP(Table6[[#This Row],[loan_id]],[1]!Repayment[loan_id],[1]!Repayment[amount_paid])</f>
        <v>30600</v>
      </c>
      <c r="E86">
        <v>0</v>
      </c>
      <c r="F86">
        <f>_xlfn.XLOOKUP(Table6[[#This Row],[loan_id]],[1]!Loans[loan_id],[1]!Loans[structural_risk])</f>
        <v>0.8</v>
      </c>
      <c r="G86">
        <f>Table6[[#This Row],[behavioral_risk]]+Table6[[#This Row],[structural_risk]]</f>
        <v>0.8</v>
      </c>
      <c r="H86" s="5">
        <f>Table6[[#This Row],[total_risk]]/$G$202</f>
        <v>0.53333333333333333</v>
      </c>
      <c r="I86" t="str">
        <f>IF(Table6[[#This Row],[total_risk_pct]]&gt;0.8%,"YES","NO")</f>
        <v>YES</v>
      </c>
      <c r="J86">
        <f>IF(Table6[[#This Row],[loan_amount]]&gt;70000,2,1)</f>
        <v>2</v>
      </c>
      <c r="K86">
        <f>Table6[[#This Row],[total_risk]]*Table6[[#This Row],[stress_multiplier]]</f>
        <v>1.6</v>
      </c>
      <c r="L86" s="5">
        <f>Table6[[#This Row],[stressed_total_risk]]/$K$202</f>
        <v>1.0666666666666667</v>
      </c>
      <c r="M86">
        <f>Table6[[#This Row],[stressed_total_risk]]-Table6[[#This Row],[total_risk]]</f>
        <v>0.8</v>
      </c>
      <c r="N86" t="str">
        <f>_xlfn.XLOOKUP(Table6[[#This Row],[loan_id]],[1]!Loans[loan_id],[1]!Loans[loan_size_band])</f>
        <v>Large</v>
      </c>
      <c r="O86" s="4">
        <f>Table6[[#This Row],[total_paid]]/Table6[[#This Row],[total_due]]</f>
        <v>0.16943521594684385</v>
      </c>
    </row>
    <row r="87" spans="1:15" x14ac:dyDescent="0.25">
      <c r="A87" t="s">
        <v>100</v>
      </c>
      <c r="B87">
        <f>_xlfn.XLOOKUP(Table6[[#This Row],[loan_id]],[1]!Loans[loan_id],[1]!Loans[loan_amount])</f>
        <v>500000</v>
      </c>
      <c r="C87" s="4">
        <f>(Table6[[#This Row],[loan_amount]]*(1+0.02/6))</f>
        <v>501666.66666666669</v>
      </c>
      <c r="D87">
        <f>_xlfn.XLOOKUP(Table6[[#This Row],[loan_id]],[1]!Repayment[loan_id],[1]!Repayment[amount_paid])</f>
        <v>85000</v>
      </c>
      <c r="E87">
        <v>0</v>
      </c>
      <c r="F87">
        <f>_xlfn.XLOOKUP(Table6[[#This Row],[loan_id]],[1]!Loans[loan_id],[1]!Loans[structural_risk])</f>
        <v>0.8</v>
      </c>
      <c r="G87">
        <f>Table6[[#This Row],[behavioral_risk]]+Table6[[#This Row],[structural_risk]]</f>
        <v>0.8</v>
      </c>
      <c r="H87" s="5">
        <f>Table6[[#This Row],[total_risk]]/$G$202</f>
        <v>0.53333333333333333</v>
      </c>
      <c r="I87" t="str">
        <f>IF(Table6[[#This Row],[total_risk_pct]]&gt;0.8%,"YES","NO")</f>
        <v>YES</v>
      </c>
      <c r="J87">
        <f>IF(Table6[[#This Row],[loan_amount]]&gt;70000,2,1)</f>
        <v>2</v>
      </c>
      <c r="K87">
        <f>Table6[[#This Row],[total_risk]]*Table6[[#This Row],[stress_multiplier]]</f>
        <v>1.6</v>
      </c>
      <c r="L87" s="5">
        <f>Table6[[#This Row],[stressed_total_risk]]/$K$202</f>
        <v>1.0666666666666667</v>
      </c>
      <c r="M87">
        <f>Table6[[#This Row],[stressed_total_risk]]-Table6[[#This Row],[total_risk]]</f>
        <v>0.8</v>
      </c>
      <c r="N87" t="str">
        <f>_xlfn.XLOOKUP(Table6[[#This Row],[loan_id]],[1]!Loans[loan_id],[1]!Loans[loan_size_band])</f>
        <v>Large</v>
      </c>
      <c r="O87" s="4">
        <f>Table6[[#This Row],[total_paid]]/Table6[[#This Row],[total_due]]</f>
        <v>0.16943521594684385</v>
      </c>
    </row>
    <row r="88" spans="1:15" x14ac:dyDescent="0.25">
      <c r="A88" t="s">
        <v>101</v>
      </c>
      <c r="B88">
        <f>_xlfn.XLOOKUP(Table6[[#This Row],[loan_id]],[1]!Loans[loan_id],[1]!Loans[loan_amount])</f>
        <v>330000</v>
      </c>
      <c r="C88" s="4">
        <f>(Table6[[#This Row],[loan_amount]]*(1+0.02/6))</f>
        <v>331100</v>
      </c>
      <c r="D88">
        <f>_xlfn.XLOOKUP(Table6[[#This Row],[loan_id]],[1]!Repayment[loan_id],[1]!Repayment[amount_paid])</f>
        <v>56100</v>
      </c>
      <c r="E88">
        <v>0</v>
      </c>
      <c r="F88">
        <f>_xlfn.XLOOKUP(Table6[[#This Row],[loan_id]],[1]!Loans[loan_id],[1]!Loans[structural_risk])</f>
        <v>0.8</v>
      </c>
      <c r="G88">
        <f>Table6[[#This Row],[behavioral_risk]]+Table6[[#This Row],[structural_risk]]</f>
        <v>0.8</v>
      </c>
      <c r="H88" s="5">
        <f>Table6[[#This Row],[total_risk]]/$G$202</f>
        <v>0.53333333333333333</v>
      </c>
      <c r="I88" t="str">
        <f>IF(Table6[[#This Row],[total_risk_pct]]&gt;0.8%,"YES","NO")</f>
        <v>YES</v>
      </c>
      <c r="J88">
        <f>IF(Table6[[#This Row],[loan_amount]]&gt;70000,2,1)</f>
        <v>2</v>
      </c>
      <c r="K88">
        <f>Table6[[#This Row],[total_risk]]*Table6[[#This Row],[stress_multiplier]]</f>
        <v>1.6</v>
      </c>
      <c r="L88" s="5">
        <f>Table6[[#This Row],[stressed_total_risk]]/$K$202</f>
        <v>1.0666666666666667</v>
      </c>
      <c r="M88">
        <f>Table6[[#This Row],[stressed_total_risk]]-Table6[[#This Row],[total_risk]]</f>
        <v>0.8</v>
      </c>
      <c r="N88" t="str">
        <f>_xlfn.XLOOKUP(Table6[[#This Row],[loan_id]],[1]!Loans[loan_id],[1]!Loans[loan_size_band])</f>
        <v>Large</v>
      </c>
      <c r="O88" s="4">
        <f>Table6[[#This Row],[total_paid]]/Table6[[#This Row],[total_due]]</f>
        <v>0.16943521594684385</v>
      </c>
    </row>
    <row r="89" spans="1:15" x14ac:dyDescent="0.25">
      <c r="A89" t="s">
        <v>102</v>
      </c>
      <c r="B89">
        <f>_xlfn.XLOOKUP(Table6[[#This Row],[loan_id]],[1]!Loans[loan_id],[1]!Loans[loan_amount])</f>
        <v>200000</v>
      </c>
      <c r="C89" s="4">
        <f>(Table6[[#This Row],[loan_amount]]*(1+0.02/6))</f>
        <v>200666.66666666669</v>
      </c>
      <c r="D89">
        <f>_xlfn.XLOOKUP(Table6[[#This Row],[loan_id]],[1]!Repayment[loan_id],[1]!Repayment[amount_paid])</f>
        <v>34000</v>
      </c>
      <c r="E89">
        <v>0</v>
      </c>
      <c r="F89">
        <f>_xlfn.XLOOKUP(Table6[[#This Row],[loan_id]],[1]!Loans[loan_id],[1]!Loans[structural_risk])</f>
        <v>0.8</v>
      </c>
      <c r="G89">
        <f>Table6[[#This Row],[behavioral_risk]]+Table6[[#This Row],[structural_risk]]</f>
        <v>0.8</v>
      </c>
      <c r="H89" s="5">
        <f>Table6[[#This Row],[total_risk]]/$G$202</f>
        <v>0.53333333333333333</v>
      </c>
      <c r="I89" t="str">
        <f>IF(Table6[[#This Row],[total_risk_pct]]&gt;0.8%,"YES","NO")</f>
        <v>YES</v>
      </c>
      <c r="J89">
        <f>IF(Table6[[#This Row],[loan_amount]]&gt;70000,2,1)</f>
        <v>2</v>
      </c>
      <c r="K89">
        <f>Table6[[#This Row],[total_risk]]*Table6[[#This Row],[stress_multiplier]]</f>
        <v>1.6</v>
      </c>
      <c r="L89" s="5">
        <f>Table6[[#This Row],[stressed_total_risk]]/$K$202</f>
        <v>1.0666666666666667</v>
      </c>
      <c r="M89">
        <f>Table6[[#This Row],[stressed_total_risk]]-Table6[[#This Row],[total_risk]]</f>
        <v>0.8</v>
      </c>
      <c r="N89" t="str">
        <f>_xlfn.XLOOKUP(Table6[[#This Row],[loan_id]],[1]!Loans[loan_id],[1]!Loans[loan_size_band])</f>
        <v>Large</v>
      </c>
      <c r="O89" s="4">
        <f>Table6[[#This Row],[total_paid]]/Table6[[#This Row],[total_due]]</f>
        <v>0.16943521594684383</v>
      </c>
    </row>
    <row r="90" spans="1:15" x14ac:dyDescent="0.25">
      <c r="A90" t="s">
        <v>103</v>
      </c>
      <c r="B90">
        <f>_xlfn.XLOOKUP(Table6[[#This Row],[loan_id]],[1]!Loans[loan_id],[1]!Loans[loan_amount])</f>
        <v>210000</v>
      </c>
      <c r="C90" s="4">
        <f>(Table6[[#This Row],[loan_amount]]*(1+0.02/6))</f>
        <v>210700.00000000003</v>
      </c>
      <c r="D90">
        <f>_xlfn.XLOOKUP(Table6[[#This Row],[loan_id]],[1]!Repayment[loan_id],[1]!Repayment[amount_paid])</f>
        <v>35700</v>
      </c>
      <c r="E90">
        <v>0</v>
      </c>
      <c r="F90">
        <f>_xlfn.XLOOKUP(Table6[[#This Row],[loan_id]],[1]!Loans[loan_id],[1]!Loans[structural_risk])</f>
        <v>0.8</v>
      </c>
      <c r="G90">
        <f>Table6[[#This Row],[behavioral_risk]]+Table6[[#This Row],[structural_risk]]</f>
        <v>0.8</v>
      </c>
      <c r="H90" s="5">
        <f>Table6[[#This Row],[total_risk]]/$G$202</f>
        <v>0.53333333333333333</v>
      </c>
      <c r="I90" t="str">
        <f>IF(Table6[[#This Row],[total_risk_pct]]&gt;0.8%,"YES","NO")</f>
        <v>YES</v>
      </c>
      <c r="J90">
        <f>IF(Table6[[#This Row],[loan_amount]]&gt;70000,2,1)</f>
        <v>2</v>
      </c>
      <c r="K90">
        <f>Table6[[#This Row],[total_risk]]*Table6[[#This Row],[stress_multiplier]]</f>
        <v>1.6</v>
      </c>
      <c r="L90" s="5">
        <f>Table6[[#This Row],[stressed_total_risk]]/$K$202</f>
        <v>1.0666666666666667</v>
      </c>
      <c r="M90">
        <f>Table6[[#This Row],[stressed_total_risk]]-Table6[[#This Row],[total_risk]]</f>
        <v>0.8</v>
      </c>
      <c r="N90" t="str">
        <f>_xlfn.XLOOKUP(Table6[[#This Row],[loan_id]],[1]!Loans[loan_id],[1]!Loans[loan_size_band])</f>
        <v>Large</v>
      </c>
      <c r="O90" s="4">
        <f>Table6[[#This Row],[total_paid]]/Table6[[#This Row],[total_due]]</f>
        <v>0.16943521594684383</v>
      </c>
    </row>
    <row r="91" spans="1:15" x14ac:dyDescent="0.25">
      <c r="A91" t="s">
        <v>104</v>
      </c>
      <c r="B91">
        <f>_xlfn.XLOOKUP(Table6[[#This Row],[loan_id]],[1]!Loans[loan_id],[1]!Loans[loan_amount])</f>
        <v>180000</v>
      </c>
      <c r="C91" s="4">
        <f>(Table6[[#This Row],[loan_amount]]*(1+0.02/6))</f>
        <v>180600</v>
      </c>
      <c r="D91">
        <f>_xlfn.XLOOKUP(Table6[[#This Row],[loan_id]],[1]!Repayment[loan_id],[1]!Repayment[amount_paid])</f>
        <v>30600</v>
      </c>
      <c r="E91">
        <v>0</v>
      </c>
      <c r="F91">
        <f>_xlfn.XLOOKUP(Table6[[#This Row],[loan_id]],[1]!Loans[loan_id],[1]!Loans[structural_risk])</f>
        <v>0.8</v>
      </c>
      <c r="G91">
        <f>Table6[[#This Row],[behavioral_risk]]+Table6[[#This Row],[structural_risk]]</f>
        <v>0.8</v>
      </c>
      <c r="H91" s="5">
        <f>Table6[[#This Row],[total_risk]]/$G$202</f>
        <v>0.53333333333333333</v>
      </c>
      <c r="I91" t="str">
        <f>IF(Table6[[#This Row],[total_risk_pct]]&gt;0.8%,"YES","NO")</f>
        <v>YES</v>
      </c>
      <c r="J91">
        <f>IF(Table6[[#This Row],[loan_amount]]&gt;70000,2,1)</f>
        <v>2</v>
      </c>
      <c r="K91">
        <f>Table6[[#This Row],[total_risk]]*Table6[[#This Row],[stress_multiplier]]</f>
        <v>1.6</v>
      </c>
      <c r="L91" s="5">
        <f>Table6[[#This Row],[stressed_total_risk]]/$K$202</f>
        <v>1.0666666666666667</v>
      </c>
      <c r="M91">
        <f>Table6[[#This Row],[stressed_total_risk]]-Table6[[#This Row],[total_risk]]</f>
        <v>0.8</v>
      </c>
      <c r="N91" t="str">
        <f>_xlfn.XLOOKUP(Table6[[#This Row],[loan_id]],[1]!Loans[loan_id],[1]!Loans[loan_size_band])</f>
        <v>Large</v>
      </c>
      <c r="O91" s="4">
        <f>Table6[[#This Row],[total_paid]]/Table6[[#This Row],[total_due]]</f>
        <v>0.16943521594684385</v>
      </c>
    </row>
    <row r="92" spans="1:15" x14ac:dyDescent="0.25">
      <c r="A92" t="s">
        <v>105</v>
      </c>
      <c r="B92">
        <f>_xlfn.XLOOKUP(Table6[[#This Row],[loan_id]],[1]!Loans[loan_id],[1]!Loans[loan_amount])</f>
        <v>470000</v>
      </c>
      <c r="C92" s="4">
        <f>(Table6[[#This Row],[loan_amount]]*(1+0.02/6))</f>
        <v>471566.66666666669</v>
      </c>
      <c r="D92">
        <f>_xlfn.XLOOKUP(Table6[[#This Row],[loan_id]],[1]!Repayment[loan_id],[1]!Repayment[amount_paid])</f>
        <v>79900</v>
      </c>
      <c r="E92">
        <v>0</v>
      </c>
      <c r="F92">
        <f>_xlfn.XLOOKUP(Table6[[#This Row],[loan_id]],[1]!Loans[loan_id],[1]!Loans[structural_risk])</f>
        <v>0.8</v>
      </c>
      <c r="G92">
        <f>Table6[[#This Row],[behavioral_risk]]+Table6[[#This Row],[structural_risk]]</f>
        <v>0.8</v>
      </c>
      <c r="H92" s="5">
        <f>Table6[[#This Row],[total_risk]]/$G$202</f>
        <v>0.53333333333333333</v>
      </c>
      <c r="I92" t="str">
        <f>IF(Table6[[#This Row],[total_risk_pct]]&gt;0.8%,"YES","NO")</f>
        <v>YES</v>
      </c>
      <c r="J92">
        <f>IF(Table6[[#This Row],[loan_amount]]&gt;70000,2,1)</f>
        <v>2</v>
      </c>
      <c r="K92">
        <f>Table6[[#This Row],[total_risk]]*Table6[[#This Row],[stress_multiplier]]</f>
        <v>1.6</v>
      </c>
      <c r="L92" s="5">
        <f>Table6[[#This Row],[stressed_total_risk]]/$K$202</f>
        <v>1.0666666666666667</v>
      </c>
      <c r="M92">
        <f>Table6[[#This Row],[stressed_total_risk]]-Table6[[#This Row],[total_risk]]</f>
        <v>0.8</v>
      </c>
      <c r="N92" t="str">
        <f>_xlfn.XLOOKUP(Table6[[#This Row],[loan_id]],[1]!Loans[loan_id],[1]!Loans[loan_size_band])</f>
        <v>Large</v>
      </c>
      <c r="O92" s="4">
        <f>Table6[[#This Row],[total_paid]]/Table6[[#This Row],[total_due]]</f>
        <v>0.16943521594684385</v>
      </c>
    </row>
    <row r="93" spans="1:15" x14ac:dyDescent="0.25">
      <c r="A93" t="s">
        <v>106</v>
      </c>
      <c r="B93">
        <f>_xlfn.XLOOKUP(Table6[[#This Row],[loan_id]],[1]!Loans[loan_id],[1]!Loans[loan_amount])</f>
        <v>140000</v>
      </c>
      <c r="C93" s="4">
        <f>(Table6[[#This Row],[loan_amount]]*(1+0.02/6))</f>
        <v>140466.66666666669</v>
      </c>
      <c r="D93">
        <f>_xlfn.XLOOKUP(Table6[[#This Row],[loan_id]],[1]!Repayment[loan_id],[1]!Repayment[amount_paid])</f>
        <v>23800</v>
      </c>
      <c r="E93">
        <v>0</v>
      </c>
      <c r="F93">
        <f>_xlfn.XLOOKUP(Table6[[#This Row],[loan_id]],[1]!Loans[loan_id],[1]!Loans[structural_risk])</f>
        <v>0.8</v>
      </c>
      <c r="G93">
        <f>Table6[[#This Row],[behavioral_risk]]+Table6[[#This Row],[structural_risk]]</f>
        <v>0.8</v>
      </c>
      <c r="H93" s="5">
        <f>Table6[[#This Row],[total_risk]]/$G$202</f>
        <v>0.53333333333333333</v>
      </c>
      <c r="I93" t="str">
        <f>IF(Table6[[#This Row],[total_risk_pct]]&gt;0.8%,"YES","NO")</f>
        <v>YES</v>
      </c>
      <c r="J93">
        <f>IF(Table6[[#This Row],[loan_amount]]&gt;70000,2,1)</f>
        <v>2</v>
      </c>
      <c r="K93">
        <f>Table6[[#This Row],[total_risk]]*Table6[[#This Row],[stress_multiplier]]</f>
        <v>1.6</v>
      </c>
      <c r="L93" s="5">
        <f>Table6[[#This Row],[stressed_total_risk]]/$K$202</f>
        <v>1.0666666666666667</v>
      </c>
      <c r="M93">
        <f>Table6[[#This Row],[stressed_total_risk]]-Table6[[#This Row],[total_risk]]</f>
        <v>0.8</v>
      </c>
      <c r="N93" t="str">
        <f>_xlfn.XLOOKUP(Table6[[#This Row],[loan_id]],[1]!Loans[loan_id],[1]!Loans[loan_size_band])</f>
        <v>Large</v>
      </c>
      <c r="O93" s="4">
        <f>Table6[[#This Row],[total_paid]]/Table6[[#This Row],[total_due]]</f>
        <v>0.16943521594684383</v>
      </c>
    </row>
    <row r="94" spans="1:15" x14ac:dyDescent="0.25">
      <c r="A94" t="s">
        <v>107</v>
      </c>
      <c r="B94">
        <f>_xlfn.XLOOKUP(Table6[[#This Row],[loan_id]],[1]!Loans[loan_id],[1]!Loans[loan_amount])</f>
        <v>80000</v>
      </c>
      <c r="C94" s="4">
        <f>(Table6[[#This Row],[loan_amount]]*(1+0.02/6))</f>
        <v>80266.666666666672</v>
      </c>
      <c r="D94">
        <f>_xlfn.XLOOKUP(Table6[[#This Row],[loan_id]],[1]!Repayment[loan_id],[1]!Repayment[amount_paid])</f>
        <v>13600</v>
      </c>
      <c r="E94">
        <v>0</v>
      </c>
      <c r="F94">
        <f>_xlfn.XLOOKUP(Table6[[#This Row],[loan_id]],[1]!Loans[loan_id],[1]!Loans[structural_risk])</f>
        <v>0.8</v>
      </c>
      <c r="G94">
        <f>Table6[[#This Row],[behavioral_risk]]+Table6[[#This Row],[structural_risk]]</f>
        <v>0.8</v>
      </c>
      <c r="H94" s="5">
        <f>Table6[[#This Row],[total_risk]]/$G$202</f>
        <v>0.53333333333333333</v>
      </c>
      <c r="I94" t="str">
        <f>IF(Table6[[#This Row],[total_risk_pct]]&gt;0.8%,"YES","NO")</f>
        <v>YES</v>
      </c>
      <c r="J94">
        <f>IF(Table6[[#This Row],[loan_amount]]&gt;70000,2,1)</f>
        <v>2</v>
      </c>
      <c r="K94">
        <f>Table6[[#This Row],[total_risk]]*Table6[[#This Row],[stress_multiplier]]</f>
        <v>1.6</v>
      </c>
      <c r="L94" s="5">
        <f>Table6[[#This Row],[stressed_total_risk]]/$K$202</f>
        <v>1.0666666666666667</v>
      </c>
      <c r="M94">
        <f>Table6[[#This Row],[stressed_total_risk]]-Table6[[#This Row],[total_risk]]</f>
        <v>0.8</v>
      </c>
      <c r="N94" t="str">
        <f>_xlfn.XLOOKUP(Table6[[#This Row],[loan_id]],[1]!Loans[loan_id],[1]!Loans[loan_size_band])</f>
        <v>Large</v>
      </c>
      <c r="O94" s="4">
        <f>Table6[[#This Row],[total_paid]]/Table6[[#This Row],[total_due]]</f>
        <v>0.16943521594684385</v>
      </c>
    </row>
    <row r="95" spans="1:15" x14ac:dyDescent="0.25">
      <c r="A95" t="s">
        <v>108</v>
      </c>
      <c r="B95">
        <f>_xlfn.XLOOKUP(Table6[[#This Row],[loan_id]],[1]!Loans[loan_id],[1]!Loans[loan_amount])</f>
        <v>110000</v>
      </c>
      <c r="C95" s="4">
        <f>(Table6[[#This Row],[loan_amount]]*(1+0.02/6))</f>
        <v>110366.66666666667</v>
      </c>
      <c r="D95">
        <f>_xlfn.XLOOKUP(Table6[[#This Row],[loan_id]],[1]!Repayment[loan_id],[1]!Repayment[amount_paid])</f>
        <v>18700</v>
      </c>
      <c r="E95">
        <v>0</v>
      </c>
      <c r="F95">
        <f>_xlfn.XLOOKUP(Table6[[#This Row],[loan_id]],[1]!Loans[loan_id],[1]!Loans[structural_risk])</f>
        <v>0.8</v>
      </c>
      <c r="G95">
        <f>Table6[[#This Row],[behavioral_risk]]+Table6[[#This Row],[structural_risk]]</f>
        <v>0.8</v>
      </c>
      <c r="H95" s="5">
        <f>Table6[[#This Row],[total_risk]]/$G$202</f>
        <v>0.53333333333333333</v>
      </c>
      <c r="I95" t="str">
        <f>IF(Table6[[#This Row],[total_risk_pct]]&gt;0.8%,"YES","NO")</f>
        <v>YES</v>
      </c>
      <c r="J95">
        <f>IF(Table6[[#This Row],[loan_amount]]&gt;70000,2,1)</f>
        <v>2</v>
      </c>
      <c r="K95">
        <f>Table6[[#This Row],[total_risk]]*Table6[[#This Row],[stress_multiplier]]</f>
        <v>1.6</v>
      </c>
      <c r="L95" s="5">
        <f>Table6[[#This Row],[stressed_total_risk]]/$K$202</f>
        <v>1.0666666666666667</v>
      </c>
      <c r="M95">
        <f>Table6[[#This Row],[stressed_total_risk]]-Table6[[#This Row],[total_risk]]</f>
        <v>0.8</v>
      </c>
      <c r="N95" t="str">
        <f>_xlfn.XLOOKUP(Table6[[#This Row],[loan_id]],[1]!Loans[loan_id],[1]!Loans[loan_size_band])</f>
        <v>Large</v>
      </c>
      <c r="O95" s="4">
        <f>Table6[[#This Row],[total_paid]]/Table6[[#This Row],[total_due]]</f>
        <v>0.16943521594684385</v>
      </c>
    </row>
    <row r="96" spans="1:15" x14ac:dyDescent="0.25">
      <c r="A96" t="s">
        <v>109</v>
      </c>
      <c r="B96">
        <f>_xlfn.XLOOKUP(Table6[[#This Row],[loan_id]],[1]!Loans[loan_id],[1]!Loans[loan_amount])</f>
        <v>350000</v>
      </c>
      <c r="C96" s="4">
        <f>(Table6[[#This Row],[loan_amount]]*(1+0.02/6))</f>
        <v>351166.66666666669</v>
      </c>
      <c r="D96">
        <f>_xlfn.XLOOKUP(Table6[[#This Row],[loan_id]],[1]!Repayment[loan_id],[1]!Repayment[amount_paid])</f>
        <v>59500</v>
      </c>
      <c r="E96">
        <v>0</v>
      </c>
      <c r="F96">
        <f>_xlfn.XLOOKUP(Table6[[#This Row],[loan_id]],[1]!Loans[loan_id],[1]!Loans[structural_risk])</f>
        <v>0.8</v>
      </c>
      <c r="G96">
        <f>Table6[[#This Row],[behavioral_risk]]+Table6[[#This Row],[structural_risk]]</f>
        <v>0.8</v>
      </c>
      <c r="H96" s="5">
        <f>Table6[[#This Row],[total_risk]]/$G$202</f>
        <v>0.53333333333333333</v>
      </c>
      <c r="I96" t="str">
        <f>IF(Table6[[#This Row],[total_risk_pct]]&gt;0.8%,"YES","NO")</f>
        <v>YES</v>
      </c>
      <c r="J96">
        <f>IF(Table6[[#This Row],[loan_amount]]&gt;70000,2,1)</f>
        <v>2</v>
      </c>
      <c r="K96">
        <f>Table6[[#This Row],[total_risk]]*Table6[[#This Row],[stress_multiplier]]</f>
        <v>1.6</v>
      </c>
      <c r="L96" s="5">
        <f>Table6[[#This Row],[stressed_total_risk]]/$K$202</f>
        <v>1.0666666666666667</v>
      </c>
      <c r="M96">
        <f>Table6[[#This Row],[stressed_total_risk]]-Table6[[#This Row],[total_risk]]</f>
        <v>0.8</v>
      </c>
      <c r="N96" t="str">
        <f>_xlfn.XLOOKUP(Table6[[#This Row],[loan_id]],[1]!Loans[loan_id],[1]!Loans[loan_size_band])</f>
        <v>Large</v>
      </c>
      <c r="O96" s="4">
        <f>Table6[[#This Row],[total_paid]]/Table6[[#This Row],[total_due]]</f>
        <v>0.16943521594684385</v>
      </c>
    </row>
    <row r="97" spans="1:15" x14ac:dyDescent="0.25">
      <c r="A97" t="s">
        <v>110</v>
      </c>
      <c r="B97">
        <f>_xlfn.XLOOKUP(Table6[[#This Row],[loan_id]],[1]!Loans[loan_id],[1]!Loans[loan_amount])</f>
        <v>450000</v>
      </c>
      <c r="C97" s="4">
        <f>(Table6[[#This Row],[loan_amount]]*(1+0.02/6))</f>
        <v>451500.00000000006</v>
      </c>
      <c r="D97">
        <f>_xlfn.XLOOKUP(Table6[[#This Row],[loan_id]],[1]!Repayment[loan_id],[1]!Repayment[amount_paid])</f>
        <v>76500</v>
      </c>
      <c r="E97">
        <v>0</v>
      </c>
      <c r="F97">
        <f>_xlfn.XLOOKUP(Table6[[#This Row],[loan_id]],[1]!Loans[loan_id],[1]!Loans[structural_risk])</f>
        <v>0.8</v>
      </c>
      <c r="G97">
        <f>Table6[[#This Row],[behavioral_risk]]+Table6[[#This Row],[structural_risk]]</f>
        <v>0.8</v>
      </c>
      <c r="H97" s="5">
        <f>Table6[[#This Row],[total_risk]]/$G$202</f>
        <v>0.53333333333333333</v>
      </c>
      <c r="I97" t="str">
        <f>IF(Table6[[#This Row],[total_risk_pct]]&gt;0.8%,"YES","NO")</f>
        <v>YES</v>
      </c>
      <c r="J97">
        <f>IF(Table6[[#This Row],[loan_amount]]&gt;70000,2,1)</f>
        <v>2</v>
      </c>
      <c r="K97">
        <f>Table6[[#This Row],[total_risk]]*Table6[[#This Row],[stress_multiplier]]</f>
        <v>1.6</v>
      </c>
      <c r="L97" s="5">
        <f>Table6[[#This Row],[stressed_total_risk]]/$K$202</f>
        <v>1.0666666666666667</v>
      </c>
      <c r="M97">
        <f>Table6[[#This Row],[stressed_total_risk]]-Table6[[#This Row],[total_risk]]</f>
        <v>0.8</v>
      </c>
      <c r="N97" t="str">
        <f>_xlfn.XLOOKUP(Table6[[#This Row],[loan_id]],[1]!Loans[loan_id],[1]!Loans[loan_size_band])</f>
        <v>Large</v>
      </c>
      <c r="O97" s="4">
        <f>Table6[[#This Row],[total_paid]]/Table6[[#This Row],[total_due]]</f>
        <v>0.16943521594684383</v>
      </c>
    </row>
    <row r="98" spans="1:15" x14ac:dyDescent="0.25">
      <c r="A98" t="s">
        <v>111</v>
      </c>
      <c r="B98">
        <f>_xlfn.XLOOKUP(Table6[[#This Row],[loan_id]],[1]!Loans[loan_id],[1]!Loans[loan_amount])</f>
        <v>280000</v>
      </c>
      <c r="C98" s="4">
        <f>(Table6[[#This Row],[loan_amount]]*(1+0.02/6))</f>
        <v>280933.33333333337</v>
      </c>
      <c r="D98">
        <f>_xlfn.XLOOKUP(Table6[[#This Row],[loan_id]],[1]!Repayment[loan_id],[1]!Repayment[amount_paid])</f>
        <v>47600</v>
      </c>
      <c r="E98">
        <v>0</v>
      </c>
      <c r="F98">
        <f>_xlfn.XLOOKUP(Table6[[#This Row],[loan_id]],[1]!Loans[loan_id],[1]!Loans[structural_risk])</f>
        <v>0.8</v>
      </c>
      <c r="G98">
        <f>Table6[[#This Row],[behavioral_risk]]+Table6[[#This Row],[structural_risk]]</f>
        <v>0.8</v>
      </c>
      <c r="H98" s="5">
        <f>Table6[[#This Row],[total_risk]]/$G$202</f>
        <v>0.53333333333333333</v>
      </c>
      <c r="I98" t="str">
        <f>IF(Table6[[#This Row],[total_risk_pct]]&gt;0.8%,"YES","NO")</f>
        <v>YES</v>
      </c>
      <c r="J98">
        <f>IF(Table6[[#This Row],[loan_amount]]&gt;70000,2,1)</f>
        <v>2</v>
      </c>
      <c r="K98">
        <f>Table6[[#This Row],[total_risk]]*Table6[[#This Row],[stress_multiplier]]</f>
        <v>1.6</v>
      </c>
      <c r="L98" s="5">
        <f>Table6[[#This Row],[stressed_total_risk]]/$K$202</f>
        <v>1.0666666666666667</v>
      </c>
      <c r="M98">
        <f>Table6[[#This Row],[stressed_total_risk]]-Table6[[#This Row],[total_risk]]</f>
        <v>0.8</v>
      </c>
      <c r="N98" t="str">
        <f>_xlfn.XLOOKUP(Table6[[#This Row],[loan_id]],[1]!Loans[loan_id],[1]!Loans[loan_size_band])</f>
        <v>Large</v>
      </c>
      <c r="O98" s="4">
        <f>Table6[[#This Row],[total_paid]]/Table6[[#This Row],[total_due]]</f>
        <v>0.16943521594684383</v>
      </c>
    </row>
    <row r="99" spans="1:15" x14ac:dyDescent="0.25">
      <c r="A99" t="s">
        <v>112</v>
      </c>
      <c r="B99">
        <f>_xlfn.XLOOKUP(Table6[[#This Row],[loan_id]],[1]!Loans[loan_id],[1]!Loans[loan_amount])</f>
        <v>130000</v>
      </c>
      <c r="C99" s="4">
        <f>(Table6[[#This Row],[loan_amount]]*(1+0.02/6))</f>
        <v>130433.33333333334</v>
      </c>
      <c r="D99">
        <f>_xlfn.XLOOKUP(Table6[[#This Row],[loan_id]],[1]!Repayment[loan_id],[1]!Repayment[amount_paid])</f>
        <v>22100</v>
      </c>
      <c r="E99">
        <v>0</v>
      </c>
      <c r="F99">
        <f>_xlfn.XLOOKUP(Table6[[#This Row],[loan_id]],[1]!Loans[loan_id],[1]!Loans[structural_risk])</f>
        <v>0.8</v>
      </c>
      <c r="G99">
        <f>Table6[[#This Row],[behavioral_risk]]+Table6[[#This Row],[structural_risk]]</f>
        <v>0.8</v>
      </c>
      <c r="H99" s="5">
        <f>Table6[[#This Row],[total_risk]]/$G$202</f>
        <v>0.53333333333333333</v>
      </c>
      <c r="I99" t="str">
        <f>IF(Table6[[#This Row],[total_risk_pct]]&gt;0.8%,"YES","NO")</f>
        <v>YES</v>
      </c>
      <c r="J99">
        <f>IF(Table6[[#This Row],[loan_amount]]&gt;70000,2,1)</f>
        <v>2</v>
      </c>
      <c r="K99">
        <f>Table6[[#This Row],[total_risk]]*Table6[[#This Row],[stress_multiplier]]</f>
        <v>1.6</v>
      </c>
      <c r="L99" s="5">
        <f>Table6[[#This Row],[stressed_total_risk]]/$K$202</f>
        <v>1.0666666666666667</v>
      </c>
      <c r="M99">
        <f>Table6[[#This Row],[stressed_total_risk]]-Table6[[#This Row],[total_risk]]</f>
        <v>0.8</v>
      </c>
      <c r="N99" t="str">
        <f>_xlfn.XLOOKUP(Table6[[#This Row],[loan_id]],[1]!Loans[loan_id],[1]!Loans[loan_size_band])</f>
        <v>Large</v>
      </c>
      <c r="O99" s="4">
        <f>Table6[[#This Row],[total_paid]]/Table6[[#This Row],[total_due]]</f>
        <v>0.16943521594684385</v>
      </c>
    </row>
    <row r="100" spans="1:15" x14ac:dyDescent="0.25">
      <c r="A100" t="s">
        <v>113</v>
      </c>
      <c r="B100">
        <f>_xlfn.XLOOKUP(Table6[[#This Row],[loan_id]],[1]!Loans[loan_id],[1]!Loans[loan_amount])</f>
        <v>320000</v>
      </c>
      <c r="C100" s="4">
        <f>(Table6[[#This Row],[loan_amount]]*(1+0.02/6))</f>
        <v>321066.66666666669</v>
      </c>
      <c r="D100">
        <f>_xlfn.XLOOKUP(Table6[[#This Row],[loan_id]],[1]!Repayment[loan_id],[1]!Repayment[amount_paid])</f>
        <v>54400</v>
      </c>
      <c r="E100">
        <v>0</v>
      </c>
      <c r="F100">
        <f>_xlfn.XLOOKUP(Table6[[#This Row],[loan_id]],[1]!Loans[loan_id],[1]!Loans[structural_risk])</f>
        <v>0.8</v>
      </c>
      <c r="G100">
        <f>Table6[[#This Row],[behavioral_risk]]+Table6[[#This Row],[structural_risk]]</f>
        <v>0.8</v>
      </c>
      <c r="H100" s="5">
        <f>Table6[[#This Row],[total_risk]]/$G$202</f>
        <v>0.53333333333333333</v>
      </c>
      <c r="I100" t="str">
        <f>IF(Table6[[#This Row],[total_risk_pct]]&gt;0.8%,"YES","NO")</f>
        <v>YES</v>
      </c>
      <c r="J100">
        <f>IF(Table6[[#This Row],[loan_amount]]&gt;70000,2,1)</f>
        <v>2</v>
      </c>
      <c r="K100">
        <f>Table6[[#This Row],[total_risk]]*Table6[[#This Row],[stress_multiplier]]</f>
        <v>1.6</v>
      </c>
      <c r="L100" s="5">
        <f>Table6[[#This Row],[stressed_total_risk]]/$K$202</f>
        <v>1.0666666666666667</v>
      </c>
      <c r="M100">
        <f>Table6[[#This Row],[stressed_total_risk]]-Table6[[#This Row],[total_risk]]</f>
        <v>0.8</v>
      </c>
      <c r="N100" t="str">
        <f>_xlfn.XLOOKUP(Table6[[#This Row],[loan_id]],[1]!Loans[loan_id],[1]!Loans[loan_size_band])</f>
        <v>Large</v>
      </c>
      <c r="O100" s="4">
        <f>Table6[[#This Row],[total_paid]]/Table6[[#This Row],[total_due]]</f>
        <v>0.16943521594684385</v>
      </c>
    </row>
    <row r="101" spans="1:15" x14ac:dyDescent="0.25">
      <c r="A101" t="s">
        <v>114</v>
      </c>
      <c r="B101">
        <f>_xlfn.XLOOKUP(Table6[[#This Row],[loan_id]],[1]!Loans[loan_id],[1]!Loans[loan_amount])</f>
        <v>180000</v>
      </c>
      <c r="C101" s="4">
        <f>(Table6[[#This Row],[loan_amount]]*(1+0.02/6))</f>
        <v>180600</v>
      </c>
      <c r="D101">
        <f>_xlfn.XLOOKUP(Table6[[#This Row],[loan_id]],[1]!Repayment[loan_id],[1]!Repayment[amount_paid])</f>
        <v>30600</v>
      </c>
      <c r="E101">
        <v>0</v>
      </c>
      <c r="F101">
        <f>_xlfn.XLOOKUP(Table6[[#This Row],[loan_id]],[1]!Loans[loan_id],[1]!Loans[structural_risk])</f>
        <v>0.8</v>
      </c>
      <c r="G101">
        <f>Table6[[#This Row],[behavioral_risk]]+Table6[[#This Row],[structural_risk]]</f>
        <v>0.8</v>
      </c>
      <c r="H101" s="5">
        <f>Table6[[#This Row],[total_risk]]/$G$202</f>
        <v>0.53333333333333333</v>
      </c>
      <c r="I101" t="str">
        <f>IF(Table6[[#This Row],[total_risk_pct]]&gt;0.8%,"YES","NO")</f>
        <v>YES</v>
      </c>
      <c r="J101">
        <f>IF(Table6[[#This Row],[loan_amount]]&gt;70000,2,1)</f>
        <v>2</v>
      </c>
      <c r="K101">
        <f>Table6[[#This Row],[total_risk]]*Table6[[#This Row],[stress_multiplier]]</f>
        <v>1.6</v>
      </c>
      <c r="L101" s="5">
        <f>Table6[[#This Row],[stressed_total_risk]]/$K$202</f>
        <v>1.0666666666666667</v>
      </c>
      <c r="M101">
        <f>Table6[[#This Row],[stressed_total_risk]]-Table6[[#This Row],[total_risk]]</f>
        <v>0.8</v>
      </c>
      <c r="N101" t="str">
        <f>_xlfn.XLOOKUP(Table6[[#This Row],[loan_id]],[1]!Loans[loan_id],[1]!Loans[loan_size_band])</f>
        <v>Large</v>
      </c>
      <c r="O101" s="4">
        <f>Table6[[#This Row],[total_paid]]/Table6[[#This Row],[total_due]]</f>
        <v>0.16943521594684385</v>
      </c>
    </row>
    <row r="102" spans="1:15" x14ac:dyDescent="0.25">
      <c r="A102" t="s">
        <v>115</v>
      </c>
      <c r="B102">
        <f>_xlfn.XLOOKUP(Table6[[#This Row],[loan_id]],[1]!Loans[loan_id],[1]!Loans[loan_amount])</f>
        <v>320000</v>
      </c>
      <c r="C102" s="4">
        <f>(Table6[[#This Row],[loan_amount]]*(1+0.02/6))</f>
        <v>321066.66666666669</v>
      </c>
      <c r="D102">
        <f>_xlfn.XLOOKUP(Table6[[#This Row],[loan_id]],[1]!Repayment[loan_id],[1]!Repayment[amount_paid])</f>
        <v>54400</v>
      </c>
      <c r="E102">
        <v>0</v>
      </c>
      <c r="F102">
        <f>_xlfn.XLOOKUP(Table6[[#This Row],[loan_id]],[1]!Loans[loan_id],[1]!Loans[structural_risk])</f>
        <v>0.8</v>
      </c>
      <c r="G102">
        <f>Table6[[#This Row],[behavioral_risk]]+Table6[[#This Row],[structural_risk]]</f>
        <v>0.8</v>
      </c>
      <c r="H102" s="5">
        <f>Table6[[#This Row],[total_risk]]/$G$202</f>
        <v>0.53333333333333333</v>
      </c>
      <c r="I102" t="str">
        <f>IF(Table6[[#This Row],[total_risk_pct]]&gt;0.8%,"YES","NO")</f>
        <v>YES</v>
      </c>
      <c r="J102">
        <f>IF(Table6[[#This Row],[loan_amount]]&gt;70000,2,1)</f>
        <v>2</v>
      </c>
      <c r="K102">
        <f>Table6[[#This Row],[total_risk]]*Table6[[#This Row],[stress_multiplier]]</f>
        <v>1.6</v>
      </c>
      <c r="L102" s="5">
        <f>Table6[[#This Row],[stressed_total_risk]]/$K$202</f>
        <v>1.0666666666666667</v>
      </c>
      <c r="M102">
        <f>Table6[[#This Row],[stressed_total_risk]]-Table6[[#This Row],[total_risk]]</f>
        <v>0.8</v>
      </c>
      <c r="N102" t="str">
        <f>_xlfn.XLOOKUP(Table6[[#This Row],[loan_id]],[1]!Loans[loan_id],[1]!Loans[loan_size_band])</f>
        <v>Large</v>
      </c>
      <c r="O102" s="4">
        <f>Table6[[#This Row],[total_paid]]/Table6[[#This Row],[total_due]]</f>
        <v>0.16943521594684385</v>
      </c>
    </row>
    <row r="103" spans="1:15" x14ac:dyDescent="0.25">
      <c r="A103" t="s">
        <v>116</v>
      </c>
      <c r="B103">
        <f>_xlfn.XLOOKUP(Table6[[#This Row],[loan_id]],[1]!Loans[loan_id],[1]!Loans[loan_amount])</f>
        <v>140000</v>
      </c>
      <c r="C103" s="4">
        <f>(Table6[[#This Row],[loan_amount]]*(1+0.02/6))</f>
        <v>140466.66666666669</v>
      </c>
      <c r="D103">
        <f>_xlfn.XLOOKUP(Table6[[#This Row],[loan_id]],[1]!Repayment[loan_id],[1]!Repayment[amount_paid])</f>
        <v>23800</v>
      </c>
      <c r="E103">
        <v>0</v>
      </c>
      <c r="F103">
        <f>_xlfn.XLOOKUP(Table6[[#This Row],[loan_id]],[1]!Loans[loan_id],[1]!Loans[structural_risk])</f>
        <v>0.8</v>
      </c>
      <c r="G103">
        <f>Table6[[#This Row],[behavioral_risk]]+Table6[[#This Row],[structural_risk]]</f>
        <v>0.8</v>
      </c>
      <c r="H103" s="5">
        <f>Table6[[#This Row],[total_risk]]/$G$202</f>
        <v>0.53333333333333333</v>
      </c>
      <c r="I103" t="str">
        <f>IF(Table6[[#This Row],[total_risk_pct]]&gt;0.8%,"YES","NO")</f>
        <v>YES</v>
      </c>
      <c r="J103">
        <f>IF(Table6[[#This Row],[loan_amount]]&gt;70000,2,1)</f>
        <v>2</v>
      </c>
      <c r="K103">
        <f>Table6[[#This Row],[total_risk]]*Table6[[#This Row],[stress_multiplier]]</f>
        <v>1.6</v>
      </c>
      <c r="L103" s="5">
        <f>Table6[[#This Row],[stressed_total_risk]]/$K$202</f>
        <v>1.0666666666666667</v>
      </c>
      <c r="M103">
        <f>Table6[[#This Row],[stressed_total_risk]]-Table6[[#This Row],[total_risk]]</f>
        <v>0.8</v>
      </c>
      <c r="N103" t="str">
        <f>_xlfn.XLOOKUP(Table6[[#This Row],[loan_id]],[1]!Loans[loan_id],[1]!Loans[loan_size_band])</f>
        <v>Large</v>
      </c>
      <c r="O103" s="4">
        <f>Table6[[#This Row],[total_paid]]/Table6[[#This Row],[total_due]]</f>
        <v>0.16943521594684383</v>
      </c>
    </row>
    <row r="104" spans="1:15" x14ac:dyDescent="0.25">
      <c r="A104" t="s">
        <v>117</v>
      </c>
      <c r="B104">
        <f>_xlfn.XLOOKUP(Table6[[#This Row],[loan_id]],[1]!Loans[loan_id],[1]!Loans[loan_amount])</f>
        <v>90000</v>
      </c>
      <c r="C104" s="4">
        <f>(Table6[[#This Row],[loan_amount]]*(1+0.02/6))</f>
        <v>90300</v>
      </c>
      <c r="D104">
        <f>_xlfn.XLOOKUP(Table6[[#This Row],[loan_id]],[1]!Repayment[loan_id],[1]!Repayment[amount_paid])</f>
        <v>15300</v>
      </c>
      <c r="E104">
        <v>0</v>
      </c>
      <c r="F104">
        <f>_xlfn.XLOOKUP(Table6[[#This Row],[loan_id]],[1]!Loans[loan_id],[1]!Loans[structural_risk])</f>
        <v>0.8</v>
      </c>
      <c r="G104">
        <f>Table6[[#This Row],[behavioral_risk]]+Table6[[#This Row],[structural_risk]]</f>
        <v>0.8</v>
      </c>
      <c r="H104" s="5">
        <f>Table6[[#This Row],[total_risk]]/$G$202</f>
        <v>0.53333333333333333</v>
      </c>
      <c r="I104" t="str">
        <f>IF(Table6[[#This Row],[total_risk_pct]]&gt;0.8%,"YES","NO")</f>
        <v>YES</v>
      </c>
      <c r="J104">
        <f>IF(Table6[[#This Row],[loan_amount]]&gt;70000,2,1)</f>
        <v>2</v>
      </c>
      <c r="K104">
        <f>Table6[[#This Row],[total_risk]]*Table6[[#This Row],[stress_multiplier]]</f>
        <v>1.6</v>
      </c>
      <c r="L104" s="5">
        <f>Table6[[#This Row],[stressed_total_risk]]/$K$202</f>
        <v>1.0666666666666667</v>
      </c>
      <c r="M104">
        <f>Table6[[#This Row],[stressed_total_risk]]-Table6[[#This Row],[total_risk]]</f>
        <v>0.8</v>
      </c>
      <c r="N104" t="str">
        <f>_xlfn.XLOOKUP(Table6[[#This Row],[loan_id]],[1]!Loans[loan_id],[1]!Loans[loan_size_band])</f>
        <v>Large</v>
      </c>
      <c r="O104" s="4">
        <f>Table6[[#This Row],[total_paid]]/Table6[[#This Row],[total_due]]</f>
        <v>0.16943521594684385</v>
      </c>
    </row>
    <row r="105" spans="1:15" x14ac:dyDescent="0.25">
      <c r="A105" t="s">
        <v>118</v>
      </c>
      <c r="B105">
        <f>_xlfn.XLOOKUP(Table6[[#This Row],[loan_id]],[1]!Loans[loan_id],[1]!Loans[loan_amount])</f>
        <v>470000</v>
      </c>
      <c r="C105" s="4">
        <f>(Table6[[#This Row],[loan_amount]]*(1+0.02/6))</f>
        <v>471566.66666666669</v>
      </c>
      <c r="D105">
        <f>_xlfn.XLOOKUP(Table6[[#This Row],[loan_id]],[1]!Repayment[loan_id],[1]!Repayment[amount_paid])</f>
        <v>79900</v>
      </c>
      <c r="E105">
        <v>0</v>
      </c>
      <c r="F105">
        <f>_xlfn.XLOOKUP(Table6[[#This Row],[loan_id]],[1]!Loans[loan_id],[1]!Loans[structural_risk])</f>
        <v>0.8</v>
      </c>
      <c r="G105">
        <f>Table6[[#This Row],[behavioral_risk]]+Table6[[#This Row],[structural_risk]]</f>
        <v>0.8</v>
      </c>
      <c r="H105" s="5">
        <f>Table6[[#This Row],[total_risk]]/$G$202</f>
        <v>0.53333333333333333</v>
      </c>
      <c r="I105" t="str">
        <f>IF(Table6[[#This Row],[total_risk_pct]]&gt;0.8%,"YES","NO")</f>
        <v>YES</v>
      </c>
      <c r="J105">
        <f>IF(Table6[[#This Row],[loan_amount]]&gt;70000,2,1)</f>
        <v>2</v>
      </c>
      <c r="K105">
        <f>Table6[[#This Row],[total_risk]]*Table6[[#This Row],[stress_multiplier]]</f>
        <v>1.6</v>
      </c>
      <c r="L105" s="5">
        <f>Table6[[#This Row],[stressed_total_risk]]/$K$202</f>
        <v>1.0666666666666667</v>
      </c>
      <c r="M105">
        <f>Table6[[#This Row],[stressed_total_risk]]-Table6[[#This Row],[total_risk]]</f>
        <v>0.8</v>
      </c>
      <c r="N105" t="str">
        <f>_xlfn.XLOOKUP(Table6[[#This Row],[loan_id]],[1]!Loans[loan_id],[1]!Loans[loan_size_band])</f>
        <v>Large</v>
      </c>
      <c r="O105" s="4">
        <f>Table6[[#This Row],[total_paid]]/Table6[[#This Row],[total_due]]</f>
        <v>0.16943521594684385</v>
      </c>
    </row>
    <row r="106" spans="1:15" x14ac:dyDescent="0.25">
      <c r="A106" t="s">
        <v>119</v>
      </c>
      <c r="B106">
        <f>_xlfn.XLOOKUP(Table6[[#This Row],[loan_id]],[1]!Loans[loan_id],[1]!Loans[loan_amount])</f>
        <v>180000</v>
      </c>
      <c r="C106" s="4">
        <f>(Table6[[#This Row],[loan_amount]]*(1+0.02/6))</f>
        <v>180600</v>
      </c>
      <c r="D106">
        <f>_xlfn.XLOOKUP(Table6[[#This Row],[loan_id]],[1]!Repayment[loan_id],[1]!Repayment[amount_paid])</f>
        <v>30600</v>
      </c>
      <c r="E106">
        <v>0</v>
      </c>
      <c r="F106">
        <f>_xlfn.XLOOKUP(Table6[[#This Row],[loan_id]],[1]!Loans[loan_id],[1]!Loans[structural_risk])</f>
        <v>0.8</v>
      </c>
      <c r="G106">
        <f>Table6[[#This Row],[behavioral_risk]]+Table6[[#This Row],[structural_risk]]</f>
        <v>0.8</v>
      </c>
      <c r="H106" s="5">
        <f>Table6[[#This Row],[total_risk]]/$G$202</f>
        <v>0.53333333333333333</v>
      </c>
      <c r="I106" t="str">
        <f>IF(Table6[[#This Row],[total_risk_pct]]&gt;0.8%,"YES","NO")</f>
        <v>YES</v>
      </c>
      <c r="J106">
        <f>IF(Table6[[#This Row],[loan_amount]]&gt;70000,2,1)</f>
        <v>2</v>
      </c>
      <c r="K106">
        <f>Table6[[#This Row],[total_risk]]*Table6[[#This Row],[stress_multiplier]]</f>
        <v>1.6</v>
      </c>
      <c r="L106" s="5">
        <f>Table6[[#This Row],[stressed_total_risk]]/$K$202</f>
        <v>1.0666666666666667</v>
      </c>
      <c r="M106">
        <f>Table6[[#This Row],[stressed_total_risk]]-Table6[[#This Row],[total_risk]]</f>
        <v>0.8</v>
      </c>
      <c r="N106" t="str">
        <f>_xlfn.XLOOKUP(Table6[[#This Row],[loan_id]],[1]!Loans[loan_id],[1]!Loans[loan_size_band])</f>
        <v>Large</v>
      </c>
      <c r="O106" s="4">
        <f>Table6[[#This Row],[total_paid]]/Table6[[#This Row],[total_due]]</f>
        <v>0.16943521594684385</v>
      </c>
    </row>
    <row r="107" spans="1:15" x14ac:dyDescent="0.25">
      <c r="A107" t="s">
        <v>120</v>
      </c>
      <c r="B107">
        <f>_xlfn.XLOOKUP(Table6[[#This Row],[loan_id]],[1]!Loans[loan_id],[1]!Loans[loan_amount])</f>
        <v>320000</v>
      </c>
      <c r="C107" s="4">
        <f>(Table6[[#This Row],[loan_amount]]*(1+0.02/6))</f>
        <v>321066.66666666669</v>
      </c>
      <c r="D107">
        <f>_xlfn.XLOOKUP(Table6[[#This Row],[loan_id]],[1]!Repayment[loan_id],[1]!Repayment[amount_paid])</f>
        <v>54400</v>
      </c>
      <c r="E107">
        <v>0</v>
      </c>
      <c r="F107">
        <f>_xlfn.XLOOKUP(Table6[[#This Row],[loan_id]],[1]!Loans[loan_id],[1]!Loans[structural_risk])</f>
        <v>0.8</v>
      </c>
      <c r="G107">
        <f>Table6[[#This Row],[behavioral_risk]]+Table6[[#This Row],[structural_risk]]</f>
        <v>0.8</v>
      </c>
      <c r="H107" s="5">
        <f>Table6[[#This Row],[total_risk]]/$G$202</f>
        <v>0.53333333333333333</v>
      </c>
      <c r="I107" t="str">
        <f>IF(Table6[[#This Row],[total_risk_pct]]&gt;0.8%,"YES","NO")</f>
        <v>YES</v>
      </c>
      <c r="J107">
        <f>IF(Table6[[#This Row],[loan_amount]]&gt;70000,2,1)</f>
        <v>2</v>
      </c>
      <c r="K107">
        <f>Table6[[#This Row],[total_risk]]*Table6[[#This Row],[stress_multiplier]]</f>
        <v>1.6</v>
      </c>
      <c r="L107" s="5">
        <f>Table6[[#This Row],[stressed_total_risk]]/$K$202</f>
        <v>1.0666666666666667</v>
      </c>
      <c r="M107">
        <f>Table6[[#This Row],[stressed_total_risk]]-Table6[[#This Row],[total_risk]]</f>
        <v>0.8</v>
      </c>
      <c r="N107" t="str">
        <f>_xlfn.XLOOKUP(Table6[[#This Row],[loan_id]],[1]!Loans[loan_id],[1]!Loans[loan_size_band])</f>
        <v>Large</v>
      </c>
      <c r="O107" s="4">
        <f>Table6[[#This Row],[total_paid]]/Table6[[#This Row],[total_due]]</f>
        <v>0.16943521594684385</v>
      </c>
    </row>
    <row r="108" spans="1:15" x14ac:dyDescent="0.25">
      <c r="A108" t="s">
        <v>121</v>
      </c>
      <c r="B108">
        <f>_xlfn.XLOOKUP(Table6[[#This Row],[loan_id]],[1]!Loans[loan_id],[1]!Loans[loan_amount])</f>
        <v>420000</v>
      </c>
      <c r="C108" s="4">
        <f>(Table6[[#This Row],[loan_amount]]*(1+0.02/6))</f>
        <v>421400.00000000006</v>
      </c>
      <c r="D108">
        <f>_xlfn.XLOOKUP(Table6[[#This Row],[loan_id]],[1]!Repayment[loan_id],[1]!Repayment[amount_paid])</f>
        <v>71400</v>
      </c>
      <c r="E108">
        <v>0</v>
      </c>
      <c r="F108">
        <f>_xlfn.XLOOKUP(Table6[[#This Row],[loan_id]],[1]!Loans[loan_id],[1]!Loans[structural_risk])</f>
        <v>0.8</v>
      </c>
      <c r="G108">
        <f>Table6[[#This Row],[behavioral_risk]]+Table6[[#This Row],[structural_risk]]</f>
        <v>0.8</v>
      </c>
      <c r="H108" s="5">
        <f>Table6[[#This Row],[total_risk]]/$G$202</f>
        <v>0.53333333333333333</v>
      </c>
      <c r="I108" t="str">
        <f>IF(Table6[[#This Row],[total_risk_pct]]&gt;0.8%,"YES","NO")</f>
        <v>YES</v>
      </c>
      <c r="J108">
        <f>IF(Table6[[#This Row],[loan_amount]]&gt;70000,2,1)</f>
        <v>2</v>
      </c>
      <c r="K108">
        <f>Table6[[#This Row],[total_risk]]*Table6[[#This Row],[stress_multiplier]]</f>
        <v>1.6</v>
      </c>
      <c r="L108" s="5">
        <f>Table6[[#This Row],[stressed_total_risk]]/$K$202</f>
        <v>1.0666666666666667</v>
      </c>
      <c r="M108">
        <f>Table6[[#This Row],[stressed_total_risk]]-Table6[[#This Row],[total_risk]]</f>
        <v>0.8</v>
      </c>
      <c r="N108" t="str">
        <f>_xlfn.XLOOKUP(Table6[[#This Row],[loan_id]],[1]!Loans[loan_id],[1]!Loans[loan_size_band])</f>
        <v>Large</v>
      </c>
      <c r="O108" s="4">
        <f>Table6[[#This Row],[total_paid]]/Table6[[#This Row],[total_due]]</f>
        <v>0.16943521594684383</v>
      </c>
    </row>
    <row r="109" spans="1:15" x14ac:dyDescent="0.25">
      <c r="A109" t="s">
        <v>122</v>
      </c>
      <c r="B109">
        <f>_xlfn.XLOOKUP(Table6[[#This Row],[loan_id]],[1]!Loans[loan_id],[1]!Loans[loan_amount])</f>
        <v>240000</v>
      </c>
      <c r="C109" s="4">
        <f>(Table6[[#This Row],[loan_amount]]*(1+0.02/6))</f>
        <v>240800.00000000003</v>
      </c>
      <c r="D109">
        <f>_xlfn.XLOOKUP(Table6[[#This Row],[loan_id]],[1]!Repayment[loan_id],[1]!Repayment[amount_paid])</f>
        <v>40800</v>
      </c>
      <c r="E109">
        <v>0</v>
      </c>
      <c r="F109">
        <f>_xlfn.XLOOKUP(Table6[[#This Row],[loan_id]],[1]!Loans[loan_id],[1]!Loans[structural_risk])</f>
        <v>0.8</v>
      </c>
      <c r="G109">
        <f>Table6[[#This Row],[behavioral_risk]]+Table6[[#This Row],[structural_risk]]</f>
        <v>0.8</v>
      </c>
      <c r="H109" s="5">
        <f>Table6[[#This Row],[total_risk]]/$G$202</f>
        <v>0.53333333333333333</v>
      </c>
      <c r="I109" t="str">
        <f>IF(Table6[[#This Row],[total_risk_pct]]&gt;0.8%,"YES","NO")</f>
        <v>YES</v>
      </c>
      <c r="J109">
        <f>IF(Table6[[#This Row],[loan_amount]]&gt;70000,2,1)</f>
        <v>2</v>
      </c>
      <c r="K109">
        <f>Table6[[#This Row],[total_risk]]*Table6[[#This Row],[stress_multiplier]]</f>
        <v>1.6</v>
      </c>
      <c r="L109" s="5">
        <f>Table6[[#This Row],[stressed_total_risk]]/$K$202</f>
        <v>1.0666666666666667</v>
      </c>
      <c r="M109">
        <f>Table6[[#This Row],[stressed_total_risk]]-Table6[[#This Row],[total_risk]]</f>
        <v>0.8</v>
      </c>
      <c r="N109" t="str">
        <f>_xlfn.XLOOKUP(Table6[[#This Row],[loan_id]],[1]!Loans[loan_id],[1]!Loans[loan_size_band])</f>
        <v>Large</v>
      </c>
      <c r="O109" s="4">
        <f>Table6[[#This Row],[total_paid]]/Table6[[#This Row],[total_due]]</f>
        <v>0.16943521594684383</v>
      </c>
    </row>
    <row r="110" spans="1:15" x14ac:dyDescent="0.25">
      <c r="A110" t="s">
        <v>123</v>
      </c>
      <c r="B110">
        <f>_xlfn.XLOOKUP(Table6[[#This Row],[loan_id]],[1]!Loans[loan_id],[1]!Loans[loan_amount])</f>
        <v>320000</v>
      </c>
      <c r="C110" s="4">
        <f>(Table6[[#This Row],[loan_amount]]*(1+0.02/6))</f>
        <v>321066.66666666669</v>
      </c>
      <c r="D110">
        <f>_xlfn.XLOOKUP(Table6[[#This Row],[loan_id]],[1]!Repayment[loan_id],[1]!Repayment[amount_paid])</f>
        <v>54400</v>
      </c>
      <c r="E110">
        <v>0</v>
      </c>
      <c r="F110">
        <f>_xlfn.XLOOKUP(Table6[[#This Row],[loan_id]],[1]!Loans[loan_id],[1]!Loans[structural_risk])</f>
        <v>0.8</v>
      </c>
      <c r="G110">
        <f>Table6[[#This Row],[behavioral_risk]]+Table6[[#This Row],[structural_risk]]</f>
        <v>0.8</v>
      </c>
      <c r="H110" s="5">
        <f>Table6[[#This Row],[total_risk]]/$G$202</f>
        <v>0.53333333333333333</v>
      </c>
      <c r="I110" t="str">
        <f>IF(Table6[[#This Row],[total_risk_pct]]&gt;0.8%,"YES","NO")</f>
        <v>YES</v>
      </c>
      <c r="J110">
        <f>IF(Table6[[#This Row],[loan_amount]]&gt;70000,2,1)</f>
        <v>2</v>
      </c>
      <c r="K110">
        <f>Table6[[#This Row],[total_risk]]*Table6[[#This Row],[stress_multiplier]]</f>
        <v>1.6</v>
      </c>
      <c r="L110" s="5">
        <f>Table6[[#This Row],[stressed_total_risk]]/$K$202</f>
        <v>1.0666666666666667</v>
      </c>
      <c r="M110">
        <f>Table6[[#This Row],[stressed_total_risk]]-Table6[[#This Row],[total_risk]]</f>
        <v>0.8</v>
      </c>
      <c r="N110" t="str">
        <f>_xlfn.XLOOKUP(Table6[[#This Row],[loan_id]],[1]!Loans[loan_id],[1]!Loans[loan_size_band])</f>
        <v>Large</v>
      </c>
      <c r="O110" s="4">
        <f>Table6[[#This Row],[total_paid]]/Table6[[#This Row],[total_due]]</f>
        <v>0.16943521594684385</v>
      </c>
    </row>
    <row r="111" spans="1:15" x14ac:dyDescent="0.25">
      <c r="A111" t="s">
        <v>124</v>
      </c>
      <c r="B111">
        <f>_xlfn.XLOOKUP(Table6[[#This Row],[loan_id]],[1]!Loans[loan_id],[1]!Loans[loan_amount])</f>
        <v>250000</v>
      </c>
      <c r="C111" s="4">
        <f>(Table6[[#This Row],[loan_amount]]*(1+0.02/6))</f>
        <v>250833.33333333334</v>
      </c>
      <c r="D111">
        <f>_xlfn.XLOOKUP(Table6[[#This Row],[loan_id]],[1]!Repayment[loan_id],[1]!Repayment[amount_paid])</f>
        <v>42500</v>
      </c>
      <c r="E111">
        <v>0</v>
      </c>
      <c r="F111">
        <f>_xlfn.XLOOKUP(Table6[[#This Row],[loan_id]],[1]!Loans[loan_id],[1]!Loans[structural_risk])</f>
        <v>0.8</v>
      </c>
      <c r="G111">
        <f>Table6[[#This Row],[behavioral_risk]]+Table6[[#This Row],[structural_risk]]</f>
        <v>0.8</v>
      </c>
      <c r="H111" s="5">
        <f>Table6[[#This Row],[total_risk]]/$G$202</f>
        <v>0.53333333333333333</v>
      </c>
      <c r="I111" t="str">
        <f>IF(Table6[[#This Row],[total_risk_pct]]&gt;0.8%,"YES","NO")</f>
        <v>YES</v>
      </c>
      <c r="J111">
        <f>IF(Table6[[#This Row],[loan_amount]]&gt;70000,2,1)</f>
        <v>2</v>
      </c>
      <c r="K111">
        <f>Table6[[#This Row],[total_risk]]*Table6[[#This Row],[stress_multiplier]]</f>
        <v>1.6</v>
      </c>
      <c r="L111" s="5">
        <f>Table6[[#This Row],[stressed_total_risk]]/$K$202</f>
        <v>1.0666666666666667</v>
      </c>
      <c r="M111">
        <f>Table6[[#This Row],[stressed_total_risk]]-Table6[[#This Row],[total_risk]]</f>
        <v>0.8</v>
      </c>
      <c r="N111" t="str">
        <f>_xlfn.XLOOKUP(Table6[[#This Row],[loan_id]],[1]!Loans[loan_id],[1]!Loans[loan_size_band])</f>
        <v>Large</v>
      </c>
      <c r="O111" s="4">
        <f>Table6[[#This Row],[total_paid]]/Table6[[#This Row],[total_due]]</f>
        <v>0.16943521594684385</v>
      </c>
    </row>
    <row r="112" spans="1:15" x14ac:dyDescent="0.25">
      <c r="A112" t="s">
        <v>125</v>
      </c>
      <c r="B112">
        <f>_xlfn.XLOOKUP(Table6[[#This Row],[loan_id]],[1]!Loans[loan_id],[1]!Loans[loan_amount])</f>
        <v>410000</v>
      </c>
      <c r="C112" s="4">
        <f>(Table6[[#This Row],[loan_amount]]*(1+0.02/6))</f>
        <v>411366.66666666669</v>
      </c>
      <c r="D112">
        <f>_xlfn.XLOOKUP(Table6[[#This Row],[loan_id]],[1]!Repayment[loan_id],[1]!Repayment[amount_paid])</f>
        <v>69700</v>
      </c>
      <c r="E112">
        <v>0</v>
      </c>
      <c r="F112">
        <f>_xlfn.XLOOKUP(Table6[[#This Row],[loan_id]],[1]!Loans[loan_id],[1]!Loans[structural_risk])</f>
        <v>0.8</v>
      </c>
      <c r="G112">
        <f>Table6[[#This Row],[behavioral_risk]]+Table6[[#This Row],[structural_risk]]</f>
        <v>0.8</v>
      </c>
      <c r="H112" s="5">
        <f>Table6[[#This Row],[total_risk]]/$G$202</f>
        <v>0.53333333333333333</v>
      </c>
      <c r="I112" t="str">
        <f>IF(Table6[[#This Row],[total_risk_pct]]&gt;0.8%,"YES","NO")</f>
        <v>YES</v>
      </c>
      <c r="J112">
        <f>IF(Table6[[#This Row],[loan_amount]]&gt;70000,2,1)</f>
        <v>2</v>
      </c>
      <c r="K112">
        <f>Table6[[#This Row],[total_risk]]*Table6[[#This Row],[stress_multiplier]]</f>
        <v>1.6</v>
      </c>
      <c r="L112" s="5">
        <f>Table6[[#This Row],[stressed_total_risk]]/$K$202</f>
        <v>1.0666666666666667</v>
      </c>
      <c r="M112">
        <f>Table6[[#This Row],[stressed_total_risk]]-Table6[[#This Row],[total_risk]]</f>
        <v>0.8</v>
      </c>
      <c r="N112" t="str">
        <f>_xlfn.XLOOKUP(Table6[[#This Row],[loan_id]],[1]!Loans[loan_id],[1]!Loans[loan_size_band])</f>
        <v>Large</v>
      </c>
      <c r="O112" s="4">
        <f>Table6[[#This Row],[total_paid]]/Table6[[#This Row],[total_due]]</f>
        <v>0.16943521594684385</v>
      </c>
    </row>
    <row r="113" spans="1:15" x14ac:dyDescent="0.25">
      <c r="A113" t="s">
        <v>126</v>
      </c>
      <c r="B113">
        <f>_xlfn.XLOOKUP(Table6[[#This Row],[loan_id]],[1]!Loans[loan_id],[1]!Loans[loan_amount])</f>
        <v>160000</v>
      </c>
      <c r="C113" s="4">
        <f>(Table6[[#This Row],[loan_amount]]*(1+0.02/6))</f>
        <v>160533.33333333334</v>
      </c>
      <c r="D113">
        <f>_xlfn.XLOOKUP(Table6[[#This Row],[loan_id]],[1]!Repayment[loan_id],[1]!Repayment[amount_paid])</f>
        <v>27200</v>
      </c>
      <c r="E113">
        <v>0</v>
      </c>
      <c r="F113">
        <f>_xlfn.XLOOKUP(Table6[[#This Row],[loan_id]],[1]!Loans[loan_id],[1]!Loans[structural_risk])</f>
        <v>0.8</v>
      </c>
      <c r="G113">
        <f>Table6[[#This Row],[behavioral_risk]]+Table6[[#This Row],[structural_risk]]</f>
        <v>0.8</v>
      </c>
      <c r="H113" s="5">
        <f>Table6[[#This Row],[total_risk]]/$G$202</f>
        <v>0.53333333333333333</v>
      </c>
      <c r="I113" t="str">
        <f>IF(Table6[[#This Row],[total_risk_pct]]&gt;0.8%,"YES","NO")</f>
        <v>YES</v>
      </c>
      <c r="J113">
        <f>IF(Table6[[#This Row],[loan_amount]]&gt;70000,2,1)</f>
        <v>2</v>
      </c>
      <c r="K113">
        <f>Table6[[#This Row],[total_risk]]*Table6[[#This Row],[stress_multiplier]]</f>
        <v>1.6</v>
      </c>
      <c r="L113" s="5">
        <f>Table6[[#This Row],[stressed_total_risk]]/$K$202</f>
        <v>1.0666666666666667</v>
      </c>
      <c r="M113">
        <f>Table6[[#This Row],[stressed_total_risk]]-Table6[[#This Row],[total_risk]]</f>
        <v>0.8</v>
      </c>
      <c r="N113" t="str">
        <f>_xlfn.XLOOKUP(Table6[[#This Row],[loan_id]],[1]!Loans[loan_id],[1]!Loans[loan_size_band])</f>
        <v>Large</v>
      </c>
      <c r="O113" s="4">
        <f>Table6[[#This Row],[total_paid]]/Table6[[#This Row],[total_due]]</f>
        <v>0.16943521594684385</v>
      </c>
    </row>
    <row r="114" spans="1:15" x14ac:dyDescent="0.25">
      <c r="A114" t="s">
        <v>127</v>
      </c>
      <c r="B114">
        <f>_xlfn.XLOOKUP(Table6[[#This Row],[loan_id]],[1]!Loans[loan_id],[1]!Loans[loan_amount])</f>
        <v>340000</v>
      </c>
      <c r="C114" s="4">
        <f>(Table6[[#This Row],[loan_amount]]*(1+0.02/6))</f>
        <v>341133.33333333337</v>
      </c>
      <c r="D114">
        <f>_xlfn.XLOOKUP(Table6[[#This Row],[loan_id]],[1]!Repayment[loan_id],[1]!Repayment[amount_paid])</f>
        <v>57800</v>
      </c>
      <c r="E114">
        <v>0</v>
      </c>
      <c r="F114">
        <f>_xlfn.XLOOKUP(Table6[[#This Row],[loan_id]],[1]!Loans[loan_id],[1]!Loans[structural_risk])</f>
        <v>0.8</v>
      </c>
      <c r="G114">
        <f>Table6[[#This Row],[behavioral_risk]]+Table6[[#This Row],[structural_risk]]</f>
        <v>0.8</v>
      </c>
      <c r="H114" s="5">
        <f>Table6[[#This Row],[total_risk]]/$G$202</f>
        <v>0.53333333333333333</v>
      </c>
      <c r="I114" t="str">
        <f>IF(Table6[[#This Row],[total_risk_pct]]&gt;0.8%,"YES","NO")</f>
        <v>YES</v>
      </c>
      <c r="J114">
        <f>IF(Table6[[#This Row],[loan_amount]]&gt;70000,2,1)</f>
        <v>2</v>
      </c>
      <c r="K114">
        <f>Table6[[#This Row],[total_risk]]*Table6[[#This Row],[stress_multiplier]]</f>
        <v>1.6</v>
      </c>
      <c r="L114" s="5">
        <f>Table6[[#This Row],[stressed_total_risk]]/$K$202</f>
        <v>1.0666666666666667</v>
      </c>
      <c r="M114">
        <f>Table6[[#This Row],[stressed_total_risk]]-Table6[[#This Row],[total_risk]]</f>
        <v>0.8</v>
      </c>
      <c r="N114" t="str">
        <f>_xlfn.XLOOKUP(Table6[[#This Row],[loan_id]],[1]!Loans[loan_id],[1]!Loans[loan_size_band])</f>
        <v>Large</v>
      </c>
      <c r="O114" s="4">
        <f>Table6[[#This Row],[total_paid]]/Table6[[#This Row],[total_due]]</f>
        <v>0.16943521594684383</v>
      </c>
    </row>
    <row r="115" spans="1:15" x14ac:dyDescent="0.25">
      <c r="A115" t="s">
        <v>128</v>
      </c>
      <c r="B115">
        <f>_xlfn.XLOOKUP(Table6[[#This Row],[loan_id]],[1]!Loans[loan_id],[1]!Loans[loan_amount])</f>
        <v>300000</v>
      </c>
      <c r="C115" s="4">
        <f>(Table6[[#This Row],[loan_amount]]*(1+0.02/6))</f>
        <v>301000</v>
      </c>
      <c r="D115">
        <f>_xlfn.XLOOKUP(Table6[[#This Row],[loan_id]],[1]!Repayment[loan_id],[1]!Repayment[amount_paid])</f>
        <v>51000</v>
      </c>
      <c r="E115">
        <v>0</v>
      </c>
      <c r="F115">
        <f>_xlfn.XLOOKUP(Table6[[#This Row],[loan_id]],[1]!Loans[loan_id],[1]!Loans[structural_risk])</f>
        <v>0.8</v>
      </c>
      <c r="G115">
        <f>Table6[[#This Row],[behavioral_risk]]+Table6[[#This Row],[structural_risk]]</f>
        <v>0.8</v>
      </c>
      <c r="H115" s="5">
        <f>Table6[[#This Row],[total_risk]]/$G$202</f>
        <v>0.53333333333333333</v>
      </c>
      <c r="I115" t="str">
        <f>IF(Table6[[#This Row],[total_risk_pct]]&gt;0.8%,"YES","NO")</f>
        <v>YES</v>
      </c>
      <c r="J115">
        <f>IF(Table6[[#This Row],[loan_amount]]&gt;70000,2,1)</f>
        <v>2</v>
      </c>
      <c r="K115">
        <f>Table6[[#This Row],[total_risk]]*Table6[[#This Row],[stress_multiplier]]</f>
        <v>1.6</v>
      </c>
      <c r="L115" s="5">
        <f>Table6[[#This Row],[stressed_total_risk]]/$K$202</f>
        <v>1.0666666666666667</v>
      </c>
      <c r="M115">
        <f>Table6[[#This Row],[stressed_total_risk]]-Table6[[#This Row],[total_risk]]</f>
        <v>0.8</v>
      </c>
      <c r="N115" t="str">
        <f>_xlfn.XLOOKUP(Table6[[#This Row],[loan_id]],[1]!Loans[loan_id],[1]!Loans[loan_size_band])</f>
        <v>Large</v>
      </c>
      <c r="O115" s="4">
        <f>Table6[[#This Row],[total_paid]]/Table6[[#This Row],[total_due]]</f>
        <v>0.16943521594684385</v>
      </c>
    </row>
    <row r="116" spans="1:15" x14ac:dyDescent="0.25">
      <c r="A116" t="s">
        <v>129</v>
      </c>
      <c r="B116">
        <f>_xlfn.XLOOKUP(Table6[[#This Row],[loan_id]],[1]!Loans[loan_id],[1]!Loans[loan_amount])</f>
        <v>220000</v>
      </c>
      <c r="C116" s="4">
        <f>(Table6[[#This Row],[loan_amount]]*(1+0.02/6))</f>
        <v>220733.33333333334</v>
      </c>
      <c r="D116">
        <f>_xlfn.XLOOKUP(Table6[[#This Row],[loan_id]],[1]!Repayment[loan_id],[1]!Repayment[amount_paid])</f>
        <v>37400</v>
      </c>
      <c r="E116">
        <v>0</v>
      </c>
      <c r="F116">
        <f>_xlfn.XLOOKUP(Table6[[#This Row],[loan_id]],[1]!Loans[loan_id],[1]!Loans[structural_risk])</f>
        <v>0.8</v>
      </c>
      <c r="G116">
        <f>Table6[[#This Row],[behavioral_risk]]+Table6[[#This Row],[structural_risk]]</f>
        <v>0.8</v>
      </c>
      <c r="H116" s="5">
        <f>Table6[[#This Row],[total_risk]]/$G$202</f>
        <v>0.53333333333333333</v>
      </c>
      <c r="I116" t="str">
        <f>IF(Table6[[#This Row],[total_risk_pct]]&gt;0.8%,"YES","NO")</f>
        <v>YES</v>
      </c>
      <c r="J116">
        <f>IF(Table6[[#This Row],[loan_amount]]&gt;70000,2,1)</f>
        <v>2</v>
      </c>
      <c r="K116">
        <f>Table6[[#This Row],[total_risk]]*Table6[[#This Row],[stress_multiplier]]</f>
        <v>1.6</v>
      </c>
      <c r="L116" s="5">
        <f>Table6[[#This Row],[stressed_total_risk]]/$K$202</f>
        <v>1.0666666666666667</v>
      </c>
      <c r="M116">
        <f>Table6[[#This Row],[stressed_total_risk]]-Table6[[#This Row],[total_risk]]</f>
        <v>0.8</v>
      </c>
      <c r="N116" t="str">
        <f>_xlfn.XLOOKUP(Table6[[#This Row],[loan_id]],[1]!Loans[loan_id],[1]!Loans[loan_size_band])</f>
        <v>Large</v>
      </c>
      <c r="O116" s="4">
        <f>Table6[[#This Row],[total_paid]]/Table6[[#This Row],[total_due]]</f>
        <v>0.16943521594684385</v>
      </c>
    </row>
    <row r="117" spans="1:15" x14ac:dyDescent="0.25">
      <c r="A117" t="s">
        <v>130</v>
      </c>
      <c r="B117">
        <f>_xlfn.XLOOKUP(Table6[[#This Row],[loan_id]],[1]!Loans[loan_id],[1]!Loans[loan_amount])</f>
        <v>120000</v>
      </c>
      <c r="C117" s="4">
        <f>(Table6[[#This Row],[loan_amount]]*(1+0.02/6))</f>
        <v>120400.00000000001</v>
      </c>
      <c r="D117">
        <f>_xlfn.XLOOKUP(Table6[[#This Row],[loan_id]],[1]!Repayment[loan_id],[1]!Repayment[amount_paid])</f>
        <v>20400</v>
      </c>
      <c r="E117">
        <v>0</v>
      </c>
      <c r="F117">
        <f>_xlfn.XLOOKUP(Table6[[#This Row],[loan_id]],[1]!Loans[loan_id],[1]!Loans[structural_risk])</f>
        <v>0.8</v>
      </c>
      <c r="G117">
        <f>Table6[[#This Row],[behavioral_risk]]+Table6[[#This Row],[structural_risk]]</f>
        <v>0.8</v>
      </c>
      <c r="H117" s="5">
        <f>Table6[[#This Row],[total_risk]]/$G$202</f>
        <v>0.53333333333333333</v>
      </c>
      <c r="I117" t="str">
        <f>IF(Table6[[#This Row],[total_risk_pct]]&gt;0.8%,"YES","NO")</f>
        <v>YES</v>
      </c>
      <c r="J117">
        <f>IF(Table6[[#This Row],[loan_amount]]&gt;70000,2,1)</f>
        <v>2</v>
      </c>
      <c r="K117">
        <f>Table6[[#This Row],[total_risk]]*Table6[[#This Row],[stress_multiplier]]</f>
        <v>1.6</v>
      </c>
      <c r="L117" s="5">
        <f>Table6[[#This Row],[stressed_total_risk]]/$K$202</f>
        <v>1.0666666666666667</v>
      </c>
      <c r="M117">
        <f>Table6[[#This Row],[stressed_total_risk]]-Table6[[#This Row],[total_risk]]</f>
        <v>0.8</v>
      </c>
      <c r="N117" t="str">
        <f>_xlfn.XLOOKUP(Table6[[#This Row],[loan_id]],[1]!Loans[loan_id],[1]!Loans[loan_size_band])</f>
        <v>Large</v>
      </c>
      <c r="O117" s="4">
        <f>Table6[[#This Row],[total_paid]]/Table6[[#This Row],[total_due]]</f>
        <v>0.16943521594684383</v>
      </c>
    </row>
    <row r="118" spans="1:15" x14ac:dyDescent="0.25">
      <c r="A118" t="s">
        <v>131</v>
      </c>
      <c r="B118">
        <f>_xlfn.XLOOKUP(Table6[[#This Row],[loan_id]],[1]!Loans[loan_id],[1]!Loans[loan_amount])</f>
        <v>190000</v>
      </c>
      <c r="C118" s="4">
        <f>(Table6[[#This Row],[loan_amount]]*(1+0.02/6))</f>
        <v>190633.33333333334</v>
      </c>
      <c r="D118">
        <f>_xlfn.XLOOKUP(Table6[[#This Row],[loan_id]],[1]!Repayment[loan_id],[1]!Repayment[amount_paid])</f>
        <v>32300</v>
      </c>
      <c r="E118">
        <v>0</v>
      </c>
      <c r="F118">
        <f>_xlfn.XLOOKUP(Table6[[#This Row],[loan_id]],[1]!Loans[loan_id],[1]!Loans[structural_risk])</f>
        <v>0.8</v>
      </c>
      <c r="G118">
        <f>Table6[[#This Row],[behavioral_risk]]+Table6[[#This Row],[structural_risk]]</f>
        <v>0.8</v>
      </c>
      <c r="H118" s="5">
        <f>Table6[[#This Row],[total_risk]]/$G$202</f>
        <v>0.53333333333333333</v>
      </c>
      <c r="I118" t="str">
        <f>IF(Table6[[#This Row],[total_risk_pct]]&gt;0.8%,"YES","NO")</f>
        <v>YES</v>
      </c>
      <c r="J118">
        <f>IF(Table6[[#This Row],[loan_amount]]&gt;70000,2,1)</f>
        <v>2</v>
      </c>
      <c r="K118">
        <f>Table6[[#This Row],[total_risk]]*Table6[[#This Row],[stress_multiplier]]</f>
        <v>1.6</v>
      </c>
      <c r="L118" s="5">
        <f>Table6[[#This Row],[stressed_total_risk]]/$K$202</f>
        <v>1.0666666666666667</v>
      </c>
      <c r="M118">
        <f>Table6[[#This Row],[stressed_total_risk]]-Table6[[#This Row],[total_risk]]</f>
        <v>0.8</v>
      </c>
      <c r="N118" t="str">
        <f>_xlfn.XLOOKUP(Table6[[#This Row],[loan_id]],[1]!Loans[loan_id],[1]!Loans[loan_size_band])</f>
        <v>Large</v>
      </c>
      <c r="O118" s="4">
        <f>Table6[[#This Row],[total_paid]]/Table6[[#This Row],[total_due]]</f>
        <v>0.16943521594684385</v>
      </c>
    </row>
    <row r="119" spans="1:15" x14ac:dyDescent="0.25">
      <c r="A119" t="s">
        <v>132</v>
      </c>
      <c r="B119">
        <f>_xlfn.XLOOKUP(Table6[[#This Row],[loan_id]],[1]!Loans[loan_id],[1]!Loans[loan_amount])</f>
        <v>230000</v>
      </c>
      <c r="C119" s="4">
        <f>(Table6[[#This Row],[loan_amount]]*(1+0.02/6))</f>
        <v>230766.66666666669</v>
      </c>
      <c r="D119">
        <f>_xlfn.XLOOKUP(Table6[[#This Row],[loan_id]],[1]!Repayment[loan_id],[1]!Repayment[amount_paid])</f>
        <v>39100</v>
      </c>
      <c r="E119">
        <v>0</v>
      </c>
      <c r="F119">
        <f>_xlfn.XLOOKUP(Table6[[#This Row],[loan_id]],[1]!Loans[loan_id],[1]!Loans[structural_risk])</f>
        <v>0.8</v>
      </c>
      <c r="G119">
        <f>Table6[[#This Row],[behavioral_risk]]+Table6[[#This Row],[structural_risk]]</f>
        <v>0.8</v>
      </c>
      <c r="H119" s="5">
        <f>Table6[[#This Row],[total_risk]]/$G$202</f>
        <v>0.53333333333333333</v>
      </c>
      <c r="I119" t="str">
        <f>IF(Table6[[#This Row],[total_risk_pct]]&gt;0.8%,"YES","NO")</f>
        <v>YES</v>
      </c>
      <c r="J119">
        <f>IF(Table6[[#This Row],[loan_amount]]&gt;70000,2,1)</f>
        <v>2</v>
      </c>
      <c r="K119">
        <f>Table6[[#This Row],[total_risk]]*Table6[[#This Row],[stress_multiplier]]</f>
        <v>1.6</v>
      </c>
      <c r="L119" s="5">
        <f>Table6[[#This Row],[stressed_total_risk]]/$K$202</f>
        <v>1.0666666666666667</v>
      </c>
      <c r="M119">
        <f>Table6[[#This Row],[stressed_total_risk]]-Table6[[#This Row],[total_risk]]</f>
        <v>0.8</v>
      </c>
      <c r="N119" t="str">
        <f>_xlfn.XLOOKUP(Table6[[#This Row],[loan_id]],[1]!Loans[loan_id],[1]!Loans[loan_size_band])</f>
        <v>Large</v>
      </c>
      <c r="O119" s="4">
        <f>Table6[[#This Row],[total_paid]]/Table6[[#This Row],[total_due]]</f>
        <v>0.16943521594684385</v>
      </c>
    </row>
    <row r="120" spans="1:15" x14ac:dyDescent="0.25">
      <c r="A120" t="s">
        <v>133</v>
      </c>
      <c r="B120">
        <f>_xlfn.XLOOKUP(Table6[[#This Row],[loan_id]],[1]!Loans[loan_id],[1]!Loans[loan_amount])</f>
        <v>80000</v>
      </c>
      <c r="C120" s="4">
        <f>(Table6[[#This Row],[loan_amount]]*(1+0.02/6))</f>
        <v>80266.666666666672</v>
      </c>
      <c r="D120">
        <f>_xlfn.XLOOKUP(Table6[[#This Row],[loan_id]],[1]!Repayment[loan_id],[1]!Repayment[amount_paid])</f>
        <v>13600</v>
      </c>
      <c r="E120">
        <v>0</v>
      </c>
      <c r="F120">
        <f>_xlfn.XLOOKUP(Table6[[#This Row],[loan_id]],[1]!Loans[loan_id],[1]!Loans[structural_risk])</f>
        <v>0.8</v>
      </c>
      <c r="G120">
        <f>Table6[[#This Row],[behavioral_risk]]+Table6[[#This Row],[structural_risk]]</f>
        <v>0.8</v>
      </c>
      <c r="H120" s="5">
        <f>Table6[[#This Row],[total_risk]]/$G$202</f>
        <v>0.53333333333333333</v>
      </c>
      <c r="I120" t="str">
        <f>IF(Table6[[#This Row],[total_risk_pct]]&gt;0.8%,"YES","NO")</f>
        <v>YES</v>
      </c>
      <c r="J120">
        <f>IF(Table6[[#This Row],[loan_amount]]&gt;70000,2,1)</f>
        <v>2</v>
      </c>
      <c r="K120">
        <f>Table6[[#This Row],[total_risk]]*Table6[[#This Row],[stress_multiplier]]</f>
        <v>1.6</v>
      </c>
      <c r="L120" s="5">
        <f>Table6[[#This Row],[stressed_total_risk]]/$K$202</f>
        <v>1.0666666666666667</v>
      </c>
      <c r="M120">
        <f>Table6[[#This Row],[stressed_total_risk]]-Table6[[#This Row],[total_risk]]</f>
        <v>0.8</v>
      </c>
      <c r="N120" t="str">
        <f>_xlfn.XLOOKUP(Table6[[#This Row],[loan_id]],[1]!Loans[loan_id],[1]!Loans[loan_size_band])</f>
        <v>Large</v>
      </c>
      <c r="O120" s="4">
        <f>Table6[[#This Row],[total_paid]]/Table6[[#This Row],[total_due]]</f>
        <v>0.16943521594684385</v>
      </c>
    </row>
    <row r="121" spans="1:15" x14ac:dyDescent="0.25">
      <c r="A121" t="s">
        <v>134</v>
      </c>
      <c r="B121">
        <f>_xlfn.XLOOKUP(Table6[[#This Row],[loan_id]],[1]!Loans[loan_id],[1]!Loans[loan_amount])</f>
        <v>240000</v>
      </c>
      <c r="C121" s="4">
        <f>(Table6[[#This Row],[loan_amount]]*(1+0.02/6))</f>
        <v>240800.00000000003</v>
      </c>
      <c r="D121">
        <f>_xlfn.XLOOKUP(Table6[[#This Row],[loan_id]],[1]!Repayment[loan_id],[1]!Repayment[amount_paid])</f>
        <v>40800</v>
      </c>
      <c r="E121">
        <v>0</v>
      </c>
      <c r="F121">
        <f>_xlfn.XLOOKUP(Table6[[#This Row],[loan_id]],[1]!Loans[loan_id],[1]!Loans[structural_risk])</f>
        <v>0.8</v>
      </c>
      <c r="G121">
        <f>Table6[[#This Row],[behavioral_risk]]+Table6[[#This Row],[structural_risk]]</f>
        <v>0.8</v>
      </c>
      <c r="H121" s="5">
        <f>Table6[[#This Row],[total_risk]]/$G$202</f>
        <v>0.53333333333333333</v>
      </c>
      <c r="I121" t="str">
        <f>IF(Table6[[#This Row],[total_risk_pct]]&gt;0.8%,"YES","NO")</f>
        <v>YES</v>
      </c>
      <c r="J121">
        <f>IF(Table6[[#This Row],[loan_amount]]&gt;70000,2,1)</f>
        <v>2</v>
      </c>
      <c r="K121">
        <f>Table6[[#This Row],[total_risk]]*Table6[[#This Row],[stress_multiplier]]</f>
        <v>1.6</v>
      </c>
      <c r="L121" s="5">
        <f>Table6[[#This Row],[stressed_total_risk]]/$K$202</f>
        <v>1.0666666666666667</v>
      </c>
      <c r="M121">
        <f>Table6[[#This Row],[stressed_total_risk]]-Table6[[#This Row],[total_risk]]</f>
        <v>0.8</v>
      </c>
      <c r="N121" t="str">
        <f>_xlfn.XLOOKUP(Table6[[#This Row],[loan_id]],[1]!Loans[loan_id],[1]!Loans[loan_size_band])</f>
        <v>Large</v>
      </c>
      <c r="O121" s="4">
        <f>Table6[[#This Row],[total_paid]]/Table6[[#This Row],[total_due]]</f>
        <v>0.16943521594684383</v>
      </c>
    </row>
    <row r="122" spans="1:15" x14ac:dyDescent="0.25">
      <c r="A122" t="s">
        <v>135</v>
      </c>
      <c r="B122">
        <f>_xlfn.XLOOKUP(Table6[[#This Row],[loan_id]],[1]!Loans[loan_id],[1]!Loans[loan_amount])</f>
        <v>120000</v>
      </c>
      <c r="C122" s="4">
        <f>(Table6[[#This Row],[loan_amount]]*(1+0.02/6))</f>
        <v>120400.00000000001</v>
      </c>
      <c r="D122">
        <f>_xlfn.XLOOKUP(Table6[[#This Row],[loan_id]],[1]!Repayment[loan_id],[1]!Repayment[amount_paid])</f>
        <v>20400</v>
      </c>
      <c r="E122">
        <v>0</v>
      </c>
      <c r="F122">
        <f>_xlfn.XLOOKUP(Table6[[#This Row],[loan_id]],[1]!Loans[loan_id],[1]!Loans[structural_risk])</f>
        <v>0.8</v>
      </c>
      <c r="G122">
        <f>Table6[[#This Row],[behavioral_risk]]+Table6[[#This Row],[structural_risk]]</f>
        <v>0.8</v>
      </c>
      <c r="H122" s="5">
        <f>Table6[[#This Row],[total_risk]]/$G$202</f>
        <v>0.53333333333333333</v>
      </c>
      <c r="I122" t="str">
        <f>IF(Table6[[#This Row],[total_risk_pct]]&gt;0.8%,"YES","NO")</f>
        <v>YES</v>
      </c>
      <c r="J122">
        <f>IF(Table6[[#This Row],[loan_amount]]&gt;70000,2,1)</f>
        <v>2</v>
      </c>
      <c r="K122">
        <f>Table6[[#This Row],[total_risk]]*Table6[[#This Row],[stress_multiplier]]</f>
        <v>1.6</v>
      </c>
      <c r="L122" s="5">
        <f>Table6[[#This Row],[stressed_total_risk]]/$K$202</f>
        <v>1.0666666666666667</v>
      </c>
      <c r="M122">
        <f>Table6[[#This Row],[stressed_total_risk]]-Table6[[#This Row],[total_risk]]</f>
        <v>0.8</v>
      </c>
      <c r="N122" t="str">
        <f>_xlfn.XLOOKUP(Table6[[#This Row],[loan_id]],[1]!Loans[loan_id],[1]!Loans[loan_size_band])</f>
        <v>Large</v>
      </c>
      <c r="O122" s="4">
        <f>Table6[[#This Row],[total_paid]]/Table6[[#This Row],[total_due]]</f>
        <v>0.16943521594684383</v>
      </c>
    </row>
    <row r="123" spans="1:15" x14ac:dyDescent="0.25">
      <c r="A123" t="s">
        <v>136</v>
      </c>
      <c r="B123">
        <f>_xlfn.XLOOKUP(Table6[[#This Row],[loan_id]],[1]!Loans[loan_id],[1]!Loans[loan_amount])</f>
        <v>180000</v>
      </c>
      <c r="C123" s="4">
        <f>(Table6[[#This Row],[loan_amount]]*(1+0.02/6))</f>
        <v>180600</v>
      </c>
      <c r="D123">
        <f>_xlfn.XLOOKUP(Table6[[#This Row],[loan_id]],[1]!Repayment[loan_id],[1]!Repayment[amount_paid])</f>
        <v>30600</v>
      </c>
      <c r="E123">
        <v>0</v>
      </c>
      <c r="F123">
        <f>_xlfn.XLOOKUP(Table6[[#This Row],[loan_id]],[1]!Loans[loan_id],[1]!Loans[structural_risk])</f>
        <v>0.8</v>
      </c>
      <c r="G123">
        <f>Table6[[#This Row],[behavioral_risk]]+Table6[[#This Row],[structural_risk]]</f>
        <v>0.8</v>
      </c>
      <c r="H123" s="5">
        <f>Table6[[#This Row],[total_risk]]/$G$202</f>
        <v>0.53333333333333333</v>
      </c>
      <c r="I123" t="str">
        <f>IF(Table6[[#This Row],[total_risk_pct]]&gt;0.8%,"YES","NO")</f>
        <v>YES</v>
      </c>
      <c r="J123">
        <f>IF(Table6[[#This Row],[loan_amount]]&gt;70000,2,1)</f>
        <v>2</v>
      </c>
      <c r="K123">
        <f>Table6[[#This Row],[total_risk]]*Table6[[#This Row],[stress_multiplier]]</f>
        <v>1.6</v>
      </c>
      <c r="L123" s="5">
        <f>Table6[[#This Row],[stressed_total_risk]]/$K$202</f>
        <v>1.0666666666666667</v>
      </c>
      <c r="M123">
        <f>Table6[[#This Row],[stressed_total_risk]]-Table6[[#This Row],[total_risk]]</f>
        <v>0.8</v>
      </c>
      <c r="N123" t="str">
        <f>_xlfn.XLOOKUP(Table6[[#This Row],[loan_id]],[1]!Loans[loan_id],[1]!Loans[loan_size_band])</f>
        <v>Large</v>
      </c>
      <c r="O123" s="4">
        <f>Table6[[#This Row],[total_paid]]/Table6[[#This Row],[total_due]]</f>
        <v>0.16943521594684385</v>
      </c>
    </row>
    <row r="124" spans="1:15" x14ac:dyDescent="0.25">
      <c r="A124" t="s">
        <v>137</v>
      </c>
      <c r="B124">
        <f>_xlfn.XLOOKUP(Table6[[#This Row],[loan_id]],[1]!Loans[loan_id],[1]!Loans[loan_amount])</f>
        <v>310000</v>
      </c>
      <c r="C124" s="4">
        <f>(Table6[[#This Row],[loan_amount]]*(1+0.02/6))</f>
        <v>311033.33333333337</v>
      </c>
      <c r="D124">
        <f>_xlfn.XLOOKUP(Table6[[#This Row],[loan_id]],[1]!Repayment[loan_id],[1]!Repayment[amount_paid])</f>
        <v>52700</v>
      </c>
      <c r="E124">
        <v>0</v>
      </c>
      <c r="F124">
        <f>_xlfn.XLOOKUP(Table6[[#This Row],[loan_id]],[1]!Loans[loan_id],[1]!Loans[structural_risk])</f>
        <v>0.8</v>
      </c>
      <c r="G124">
        <f>Table6[[#This Row],[behavioral_risk]]+Table6[[#This Row],[structural_risk]]</f>
        <v>0.8</v>
      </c>
      <c r="H124" s="5">
        <f>Table6[[#This Row],[total_risk]]/$G$202</f>
        <v>0.53333333333333333</v>
      </c>
      <c r="I124" t="str">
        <f>IF(Table6[[#This Row],[total_risk_pct]]&gt;0.8%,"YES","NO")</f>
        <v>YES</v>
      </c>
      <c r="J124">
        <f>IF(Table6[[#This Row],[loan_amount]]&gt;70000,2,1)</f>
        <v>2</v>
      </c>
      <c r="K124">
        <f>Table6[[#This Row],[total_risk]]*Table6[[#This Row],[stress_multiplier]]</f>
        <v>1.6</v>
      </c>
      <c r="L124" s="5">
        <f>Table6[[#This Row],[stressed_total_risk]]/$K$202</f>
        <v>1.0666666666666667</v>
      </c>
      <c r="M124">
        <f>Table6[[#This Row],[stressed_total_risk]]-Table6[[#This Row],[total_risk]]</f>
        <v>0.8</v>
      </c>
      <c r="N124" t="str">
        <f>_xlfn.XLOOKUP(Table6[[#This Row],[loan_id]],[1]!Loans[loan_id],[1]!Loans[loan_size_band])</f>
        <v>Large</v>
      </c>
      <c r="O124" s="4">
        <f>Table6[[#This Row],[total_paid]]/Table6[[#This Row],[total_due]]</f>
        <v>0.16943521594684383</v>
      </c>
    </row>
    <row r="125" spans="1:15" x14ac:dyDescent="0.25">
      <c r="A125" t="s">
        <v>138</v>
      </c>
      <c r="B125">
        <f>_xlfn.XLOOKUP(Table6[[#This Row],[loan_id]],[1]!Loans[loan_id],[1]!Loans[loan_amount])</f>
        <v>340000</v>
      </c>
      <c r="C125" s="4">
        <f>(Table6[[#This Row],[loan_amount]]*(1+0.02/6))</f>
        <v>341133.33333333337</v>
      </c>
      <c r="D125">
        <f>_xlfn.XLOOKUP(Table6[[#This Row],[loan_id]],[1]!Repayment[loan_id],[1]!Repayment[amount_paid])</f>
        <v>57800</v>
      </c>
      <c r="E125">
        <v>0</v>
      </c>
      <c r="F125">
        <f>_xlfn.XLOOKUP(Table6[[#This Row],[loan_id]],[1]!Loans[loan_id],[1]!Loans[structural_risk])</f>
        <v>0.8</v>
      </c>
      <c r="G125">
        <f>Table6[[#This Row],[behavioral_risk]]+Table6[[#This Row],[structural_risk]]</f>
        <v>0.8</v>
      </c>
      <c r="H125" s="5">
        <f>Table6[[#This Row],[total_risk]]/$G$202</f>
        <v>0.53333333333333333</v>
      </c>
      <c r="I125" t="str">
        <f>IF(Table6[[#This Row],[total_risk_pct]]&gt;0.8%,"YES","NO")</f>
        <v>YES</v>
      </c>
      <c r="J125">
        <f>IF(Table6[[#This Row],[loan_amount]]&gt;70000,2,1)</f>
        <v>2</v>
      </c>
      <c r="K125">
        <f>Table6[[#This Row],[total_risk]]*Table6[[#This Row],[stress_multiplier]]</f>
        <v>1.6</v>
      </c>
      <c r="L125" s="5">
        <f>Table6[[#This Row],[stressed_total_risk]]/$K$202</f>
        <v>1.0666666666666667</v>
      </c>
      <c r="M125">
        <f>Table6[[#This Row],[stressed_total_risk]]-Table6[[#This Row],[total_risk]]</f>
        <v>0.8</v>
      </c>
      <c r="N125" t="str">
        <f>_xlfn.XLOOKUP(Table6[[#This Row],[loan_id]],[1]!Loans[loan_id],[1]!Loans[loan_size_band])</f>
        <v>Large</v>
      </c>
      <c r="O125" s="4">
        <f>Table6[[#This Row],[total_paid]]/Table6[[#This Row],[total_due]]</f>
        <v>0.16943521594684383</v>
      </c>
    </row>
    <row r="126" spans="1:15" x14ac:dyDescent="0.25">
      <c r="A126" t="s">
        <v>139</v>
      </c>
      <c r="B126">
        <f>_xlfn.XLOOKUP(Table6[[#This Row],[loan_id]],[1]!Loans[loan_id],[1]!Loans[loan_amount])</f>
        <v>90000</v>
      </c>
      <c r="C126" s="4">
        <f>(Table6[[#This Row],[loan_amount]]*(1+0.02/6))</f>
        <v>90300</v>
      </c>
      <c r="D126">
        <f>_xlfn.XLOOKUP(Table6[[#This Row],[loan_id]],[1]!Repayment[loan_id],[1]!Repayment[amount_paid])</f>
        <v>15300</v>
      </c>
      <c r="E126">
        <v>0</v>
      </c>
      <c r="F126">
        <f>_xlfn.XLOOKUP(Table6[[#This Row],[loan_id]],[1]!Loans[loan_id],[1]!Loans[structural_risk])</f>
        <v>0.8</v>
      </c>
      <c r="G126">
        <f>Table6[[#This Row],[behavioral_risk]]+Table6[[#This Row],[structural_risk]]</f>
        <v>0.8</v>
      </c>
      <c r="H126" s="5">
        <f>Table6[[#This Row],[total_risk]]/$G$202</f>
        <v>0.53333333333333333</v>
      </c>
      <c r="I126" t="str">
        <f>IF(Table6[[#This Row],[total_risk_pct]]&gt;0.8%,"YES","NO")</f>
        <v>YES</v>
      </c>
      <c r="J126">
        <f>IF(Table6[[#This Row],[loan_amount]]&gt;70000,2,1)</f>
        <v>2</v>
      </c>
      <c r="K126">
        <f>Table6[[#This Row],[total_risk]]*Table6[[#This Row],[stress_multiplier]]</f>
        <v>1.6</v>
      </c>
      <c r="L126" s="5">
        <f>Table6[[#This Row],[stressed_total_risk]]/$K$202</f>
        <v>1.0666666666666667</v>
      </c>
      <c r="M126">
        <f>Table6[[#This Row],[stressed_total_risk]]-Table6[[#This Row],[total_risk]]</f>
        <v>0.8</v>
      </c>
      <c r="N126" t="str">
        <f>_xlfn.XLOOKUP(Table6[[#This Row],[loan_id]],[1]!Loans[loan_id],[1]!Loans[loan_size_band])</f>
        <v>Large</v>
      </c>
      <c r="O126" s="4">
        <f>Table6[[#This Row],[total_paid]]/Table6[[#This Row],[total_due]]</f>
        <v>0.16943521594684385</v>
      </c>
    </row>
    <row r="127" spans="1:15" x14ac:dyDescent="0.25">
      <c r="A127" t="s">
        <v>140</v>
      </c>
      <c r="B127">
        <f>_xlfn.XLOOKUP(Table6[[#This Row],[loan_id]],[1]!Loans[loan_id],[1]!Loans[loan_amount])</f>
        <v>140000</v>
      </c>
      <c r="C127" s="4">
        <f>(Table6[[#This Row],[loan_amount]]*(1+0.02/6))</f>
        <v>140466.66666666669</v>
      </c>
      <c r="D127">
        <f>_xlfn.XLOOKUP(Table6[[#This Row],[loan_id]],[1]!Repayment[loan_id],[1]!Repayment[amount_paid])</f>
        <v>23800</v>
      </c>
      <c r="E127">
        <v>0</v>
      </c>
      <c r="F127">
        <f>_xlfn.XLOOKUP(Table6[[#This Row],[loan_id]],[1]!Loans[loan_id],[1]!Loans[structural_risk])</f>
        <v>0.8</v>
      </c>
      <c r="G127">
        <f>Table6[[#This Row],[behavioral_risk]]+Table6[[#This Row],[structural_risk]]</f>
        <v>0.8</v>
      </c>
      <c r="H127" s="5">
        <f>Table6[[#This Row],[total_risk]]/$G$202</f>
        <v>0.53333333333333333</v>
      </c>
      <c r="I127" t="str">
        <f>IF(Table6[[#This Row],[total_risk_pct]]&gt;0.8%,"YES","NO")</f>
        <v>YES</v>
      </c>
      <c r="J127">
        <f>IF(Table6[[#This Row],[loan_amount]]&gt;70000,2,1)</f>
        <v>2</v>
      </c>
      <c r="K127">
        <f>Table6[[#This Row],[total_risk]]*Table6[[#This Row],[stress_multiplier]]</f>
        <v>1.6</v>
      </c>
      <c r="L127" s="5">
        <f>Table6[[#This Row],[stressed_total_risk]]/$K$202</f>
        <v>1.0666666666666667</v>
      </c>
      <c r="M127">
        <f>Table6[[#This Row],[stressed_total_risk]]-Table6[[#This Row],[total_risk]]</f>
        <v>0.8</v>
      </c>
      <c r="N127" t="str">
        <f>_xlfn.XLOOKUP(Table6[[#This Row],[loan_id]],[1]!Loans[loan_id],[1]!Loans[loan_size_band])</f>
        <v>Large</v>
      </c>
      <c r="O127" s="4">
        <f>Table6[[#This Row],[total_paid]]/Table6[[#This Row],[total_due]]</f>
        <v>0.16943521594684383</v>
      </c>
    </row>
    <row r="128" spans="1:15" x14ac:dyDescent="0.25">
      <c r="A128" t="s">
        <v>141</v>
      </c>
      <c r="B128">
        <f>_xlfn.XLOOKUP(Table6[[#This Row],[loan_id]],[1]!Loans[loan_id],[1]!Loans[loan_amount])</f>
        <v>300000</v>
      </c>
      <c r="C128" s="4">
        <f>(Table6[[#This Row],[loan_amount]]*(1+0.02/6))</f>
        <v>301000</v>
      </c>
      <c r="D128">
        <f>_xlfn.XLOOKUP(Table6[[#This Row],[loan_id]],[1]!Repayment[loan_id],[1]!Repayment[amount_paid])</f>
        <v>51000</v>
      </c>
      <c r="E128">
        <v>0</v>
      </c>
      <c r="F128">
        <f>_xlfn.XLOOKUP(Table6[[#This Row],[loan_id]],[1]!Loans[loan_id],[1]!Loans[structural_risk])</f>
        <v>0.8</v>
      </c>
      <c r="G128">
        <f>Table6[[#This Row],[behavioral_risk]]+Table6[[#This Row],[structural_risk]]</f>
        <v>0.8</v>
      </c>
      <c r="H128" s="5">
        <f>Table6[[#This Row],[total_risk]]/$G$202</f>
        <v>0.53333333333333333</v>
      </c>
      <c r="I128" t="str">
        <f>IF(Table6[[#This Row],[total_risk_pct]]&gt;0.8%,"YES","NO")</f>
        <v>YES</v>
      </c>
      <c r="J128">
        <f>IF(Table6[[#This Row],[loan_amount]]&gt;70000,2,1)</f>
        <v>2</v>
      </c>
      <c r="K128">
        <f>Table6[[#This Row],[total_risk]]*Table6[[#This Row],[stress_multiplier]]</f>
        <v>1.6</v>
      </c>
      <c r="L128" s="5">
        <f>Table6[[#This Row],[stressed_total_risk]]/$K$202</f>
        <v>1.0666666666666667</v>
      </c>
      <c r="M128">
        <f>Table6[[#This Row],[stressed_total_risk]]-Table6[[#This Row],[total_risk]]</f>
        <v>0.8</v>
      </c>
      <c r="N128" t="str">
        <f>_xlfn.XLOOKUP(Table6[[#This Row],[loan_id]],[1]!Loans[loan_id],[1]!Loans[loan_size_band])</f>
        <v>Large</v>
      </c>
      <c r="O128" s="4">
        <f>Table6[[#This Row],[total_paid]]/Table6[[#This Row],[total_due]]</f>
        <v>0.16943521594684385</v>
      </c>
    </row>
    <row r="129" spans="1:15" x14ac:dyDescent="0.25">
      <c r="A129" t="s">
        <v>142</v>
      </c>
      <c r="B129">
        <f>_xlfn.XLOOKUP(Table6[[#This Row],[loan_id]],[1]!Loans[loan_id],[1]!Loans[loan_amount])</f>
        <v>210000</v>
      </c>
      <c r="C129" s="4">
        <f>(Table6[[#This Row],[loan_amount]]*(1+0.02/6))</f>
        <v>210700.00000000003</v>
      </c>
      <c r="D129">
        <f>_xlfn.XLOOKUP(Table6[[#This Row],[loan_id]],[1]!Repayment[loan_id],[1]!Repayment[amount_paid])</f>
        <v>35700</v>
      </c>
      <c r="E129">
        <v>0</v>
      </c>
      <c r="F129">
        <f>_xlfn.XLOOKUP(Table6[[#This Row],[loan_id]],[1]!Loans[loan_id],[1]!Loans[structural_risk])</f>
        <v>0.8</v>
      </c>
      <c r="G129">
        <f>Table6[[#This Row],[behavioral_risk]]+Table6[[#This Row],[structural_risk]]</f>
        <v>0.8</v>
      </c>
      <c r="H129" s="5">
        <f>Table6[[#This Row],[total_risk]]/$G$202</f>
        <v>0.53333333333333333</v>
      </c>
      <c r="I129" t="str">
        <f>IF(Table6[[#This Row],[total_risk_pct]]&gt;0.8%,"YES","NO")</f>
        <v>YES</v>
      </c>
      <c r="J129">
        <f>IF(Table6[[#This Row],[loan_amount]]&gt;70000,2,1)</f>
        <v>2</v>
      </c>
      <c r="K129">
        <f>Table6[[#This Row],[total_risk]]*Table6[[#This Row],[stress_multiplier]]</f>
        <v>1.6</v>
      </c>
      <c r="L129" s="5">
        <f>Table6[[#This Row],[stressed_total_risk]]/$K$202</f>
        <v>1.0666666666666667</v>
      </c>
      <c r="M129">
        <f>Table6[[#This Row],[stressed_total_risk]]-Table6[[#This Row],[total_risk]]</f>
        <v>0.8</v>
      </c>
      <c r="N129" t="str">
        <f>_xlfn.XLOOKUP(Table6[[#This Row],[loan_id]],[1]!Loans[loan_id],[1]!Loans[loan_size_band])</f>
        <v>Large</v>
      </c>
      <c r="O129" s="4">
        <f>Table6[[#This Row],[total_paid]]/Table6[[#This Row],[total_due]]</f>
        <v>0.16943521594684383</v>
      </c>
    </row>
    <row r="130" spans="1:15" x14ac:dyDescent="0.25">
      <c r="A130" t="s">
        <v>143</v>
      </c>
      <c r="B130">
        <f>_xlfn.XLOOKUP(Table6[[#This Row],[loan_id]],[1]!Loans[loan_id],[1]!Loans[loan_amount])</f>
        <v>400000</v>
      </c>
      <c r="C130" s="4">
        <f>(Table6[[#This Row],[loan_amount]]*(1+0.02/6))</f>
        <v>401333.33333333337</v>
      </c>
      <c r="D130">
        <f>_xlfn.XLOOKUP(Table6[[#This Row],[loan_id]],[1]!Repayment[loan_id],[1]!Repayment[amount_paid])</f>
        <v>68000</v>
      </c>
      <c r="E130">
        <v>0</v>
      </c>
      <c r="F130">
        <f>_xlfn.XLOOKUP(Table6[[#This Row],[loan_id]],[1]!Loans[loan_id],[1]!Loans[structural_risk])</f>
        <v>0.8</v>
      </c>
      <c r="G130">
        <f>Table6[[#This Row],[behavioral_risk]]+Table6[[#This Row],[structural_risk]]</f>
        <v>0.8</v>
      </c>
      <c r="H130" s="5">
        <f>Table6[[#This Row],[total_risk]]/$G$202</f>
        <v>0.53333333333333333</v>
      </c>
      <c r="I130" t="str">
        <f>IF(Table6[[#This Row],[total_risk_pct]]&gt;0.8%,"YES","NO")</f>
        <v>YES</v>
      </c>
      <c r="J130">
        <f>IF(Table6[[#This Row],[loan_amount]]&gt;70000,2,1)</f>
        <v>2</v>
      </c>
      <c r="K130">
        <f>Table6[[#This Row],[total_risk]]*Table6[[#This Row],[stress_multiplier]]</f>
        <v>1.6</v>
      </c>
      <c r="L130" s="5">
        <f>Table6[[#This Row],[stressed_total_risk]]/$K$202</f>
        <v>1.0666666666666667</v>
      </c>
      <c r="M130">
        <f>Table6[[#This Row],[stressed_total_risk]]-Table6[[#This Row],[total_risk]]</f>
        <v>0.8</v>
      </c>
      <c r="N130" t="str">
        <f>_xlfn.XLOOKUP(Table6[[#This Row],[loan_id]],[1]!Loans[loan_id],[1]!Loans[loan_size_band])</f>
        <v>Large</v>
      </c>
      <c r="O130" s="4">
        <f>Table6[[#This Row],[total_paid]]/Table6[[#This Row],[total_due]]</f>
        <v>0.16943521594684383</v>
      </c>
    </row>
    <row r="131" spans="1:15" x14ac:dyDescent="0.25">
      <c r="A131" t="s">
        <v>144</v>
      </c>
      <c r="B131">
        <f>_xlfn.XLOOKUP(Table6[[#This Row],[loan_id]],[1]!Loans[loan_id],[1]!Loans[loan_amount])</f>
        <v>80000</v>
      </c>
      <c r="C131" s="4">
        <f>(Table6[[#This Row],[loan_amount]]*(1+0.02/6))</f>
        <v>80266.666666666672</v>
      </c>
      <c r="D131">
        <f>_xlfn.XLOOKUP(Table6[[#This Row],[loan_id]],[1]!Repayment[loan_id],[1]!Repayment[amount_paid])</f>
        <v>13600</v>
      </c>
      <c r="E131">
        <v>0</v>
      </c>
      <c r="F131">
        <f>_xlfn.XLOOKUP(Table6[[#This Row],[loan_id]],[1]!Loans[loan_id],[1]!Loans[structural_risk])</f>
        <v>0.8</v>
      </c>
      <c r="G131">
        <f>Table6[[#This Row],[behavioral_risk]]+Table6[[#This Row],[structural_risk]]</f>
        <v>0.8</v>
      </c>
      <c r="H131" s="5">
        <f>Table6[[#This Row],[total_risk]]/$G$202</f>
        <v>0.53333333333333333</v>
      </c>
      <c r="I131" t="str">
        <f>IF(Table6[[#This Row],[total_risk_pct]]&gt;0.8%,"YES","NO")</f>
        <v>YES</v>
      </c>
      <c r="J131">
        <f>IF(Table6[[#This Row],[loan_amount]]&gt;70000,2,1)</f>
        <v>2</v>
      </c>
      <c r="K131">
        <f>Table6[[#This Row],[total_risk]]*Table6[[#This Row],[stress_multiplier]]</f>
        <v>1.6</v>
      </c>
      <c r="L131" s="5">
        <f>Table6[[#This Row],[stressed_total_risk]]/$K$202</f>
        <v>1.0666666666666667</v>
      </c>
      <c r="M131">
        <f>Table6[[#This Row],[stressed_total_risk]]-Table6[[#This Row],[total_risk]]</f>
        <v>0.8</v>
      </c>
      <c r="N131" t="str">
        <f>_xlfn.XLOOKUP(Table6[[#This Row],[loan_id]],[1]!Loans[loan_id],[1]!Loans[loan_size_band])</f>
        <v>Large</v>
      </c>
      <c r="O131" s="4">
        <f>Table6[[#This Row],[total_paid]]/Table6[[#This Row],[total_due]]</f>
        <v>0.16943521594684385</v>
      </c>
    </row>
    <row r="132" spans="1:15" x14ac:dyDescent="0.25">
      <c r="A132" t="s">
        <v>145</v>
      </c>
      <c r="B132">
        <f>_xlfn.XLOOKUP(Table6[[#This Row],[loan_id]],[1]!Loans[loan_id],[1]!Loans[loan_amount])</f>
        <v>200000</v>
      </c>
      <c r="C132" s="4">
        <f>(Table6[[#This Row],[loan_amount]]*(1+0.02/6))</f>
        <v>200666.66666666669</v>
      </c>
      <c r="D132">
        <f>_xlfn.XLOOKUP(Table6[[#This Row],[loan_id]],[1]!Repayment[loan_id],[1]!Repayment[amount_paid])</f>
        <v>34000</v>
      </c>
      <c r="E132">
        <v>0</v>
      </c>
      <c r="F132">
        <f>_xlfn.XLOOKUP(Table6[[#This Row],[loan_id]],[1]!Loans[loan_id],[1]!Loans[structural_risk])</f>
        <v>0.8</v>
      </c>
      <c r="G132">
        <f>Table6[[#This Row],[behavioral_risk]]+Table6[[#This Row],[structural_risk]]</f>
        <v>0.8</v>
      </c>
      <c r="H132" s="5">
        <f>Table6[[#This Row],[total_risk]]/$G$202</f>
        <v>0.53333333333333333</v>
      </c>
      <c r="I132" t="str">
        <f>IF(Table6[[#This Row],[total_risk_pct]]&gt;0.8%,"YES","NO")</f>
        <v>YES</v>
      </c>
      <c r="J132">
        <f>IF(Table6[[#This Row],[loan_amount]]&gt;70000,2,1)</f>
        <v>2</v>
      </c>
      <c r="K132">
        <f>Table6[[#This Row],[total_risk]]*Table6[[#This Row],[stress_multiplier]]</f>
        <v>1.6</v>
      </c>
      <c r="L132" s="5">
        <f>Table6[[#This Row],[stressed_total_risk]]/$K$202</f>
        <v>1.0666666666666667</v>
      </c>
      <c r="M132">
        <f>Table6[[#This Row],[stressed_total_risk]]-Table6[[#This Row],[total_risk]]</f>
        <v>0.8</v>
      </c>
      <c r="N132" t="str">
        <f>_xlfn.XLOOKUP(Table6[[#This Row],[loan_id]],[1]!Loans[loan_id],[1]!Loans[loan_size_band])</f>
        <v>Large</v>
      </c>
      <c r="O132" s="4">
        <f>Table6[[#This Row],[total_paid]]/Table6[[#This Row],[total_due]]</f>
        <v>0.16943521594684383</v>
      </c>
    </row>
    <row r="133" spans="1:15" x14ac:dyDescent="0.25">
      <c r="A133" t="s">
        <v>146</v>
      </c>
      <c r="B133">
        <f>_xlfn.XLOOKUP(Table6[[#This Row],[loan_id]],[1]!Loans[loan_id],[1]!Loans[loan_amount])</f>
        <v>450000</v>
      </c>
      <c r="C133" s="4">
        <f>(Table6[[#This Row],[loan_amount]]*(1+0.02/6))</f>
        <v>451500.00000000006</v>
      </c>
      <c r="D133">
        <f>_xlfn.XLOOKUP(Table6[[#This Row],[loan_id]],[1]!Repayment[loan_id],[1]!Repayment[amount_paid])</f>
        <v>76500</v>
      </c>
      <c r="E133">
        <v>0</v>
      </c>
      <c r="F133">
        <f>_xlfn.XLOOKUP(Table6[[#This Row],[loan_id]],[1]!Loans[loan_id],[1]!Loans[structural_risk])</f>
        <v>0.8</v>
      </c>
      <c r="G133">
        <f>Table6[[#This Row],[behavioral_risk]]+Table6[[#This Row],[structural_risk]]</f>
        <v>0.8</v>
      </c>
      <c r="H133" s="5">
        <f>Table6[[#This Row],[total_risk]]/$G$202</f>
        <v>0.53333333333333333</v>
      </c>
      <c r="I133" t="str">
        <f>IF(Table6[[#This Row],[total_risk_pct]]&gt;0.8%,"YES","NO")</f>
        <v>YES</v>
      </c>
      <c r="J133">
        <f>IF(Table6[[#This Row],[loan_amount]]&gt;70000,2,1)</f>
        <v>2</v>
      </c>
      <c r="K133">
        <f>Table6[[#This Row],[total_risk]]*Table6[[#This Row],[stress_multiplier]]</f>
        <v>1.6</v>
      </c>
      <c r="L133" s="5">
        <f>Table6[[#This Row],[stressed_total_risk]]/$K$202</f>
        <v>1.0666666666666667</v>
      </c>
      <c r="M133">
        <f>Table6[[#This Row],[stressed_total_risk]]-Table6[[#This Row],[total_risk]]</f>
        <v>0.8</v>
      </c>
      <c r="N133" t="str">
        <f>_xlfn.XLOOKUP(Table6[[#This Row],[loan_id]],[1]!Loans[loan_id],[1]!Loans[loan_size_band])</f>
        <v>Large</v>
      </c>
      <c r="O133" s="4">
        <f>Table6[[#This Row],[total_paid]]/Table6[[#This Row],[total_due]]</f>
        <v>0.16943521594684383</v>
      </c>
    </row>
    <row r="134" spans="1:15" x14ac:dyDescent="0.25">
      <c r="A134" t="s">
        <v>147</v>
      </c>
      <c r="B134">
        <f>_xlfn.XLOOKUP(Table6[[#This Row],[loan_id]],[1]!Loans[loan_id],[1]!Loans[loan_amount])</f>
        <v>500000</v>
      </c>
      <c r="C134" s="4">
        <f>(Table6[[#This Row],[loan_amount]]*(1+0.02/6))</f>
        <v>501666.66666666669</v>
      </c>
      <c r="D134">
        <f>_xlfn.XLOOKUP(Table6[[#This Row],[loan_id]],[1]!Repayment[loan_id],[1]!Repayment[amount_paid])</f>
        <v>85000</v>
      </c>
      <c r="E134">
        <v>0</v>
      </c>
      <c r="F134">
        <f>_xlfn.XLOOKUP(Table6[[#This Row],[loan_id]],[1]!Loans[loan_id],[1]!Loans[structural_risk])</f>
        <v>0.8</v>
      </c>
      <c r="G134">
        <f>Table6[[#This Row],[behavioral_risk]]+Table6[[#This Row],[structural_risk]]</f>
        <v>0.8</v>
      </c>
      <c r="H134" s="5">
        <f>Table6[[#This Row],[total_risk]]/$G$202</f>
        <v>0.53333333333333333</v>
      </c>
      <c r="I134" t="str">
        <f>IF(Table6[[#This Row],[total_risk_pct]]&gt;0.8%,"YES","NO")</f>
        <v>YES</v>
      </c>
      <c r="J134">
        <f>IF(Table6[[#This Row],[loan_amount]]&gt;70000,2,1)</f>
        <v>2</v>
      </c>
      <c r="K134">
        <f>Table6[[#This Row],[total_risk]]*Table6[[#This Row],[stress_multiplier]]</f>
        <v>1.6</v>
      </c>
      <c r="L134" s="5">
        <f>Table6[[#This Row],[stressed_total_risk]]/$K$202</f>
        <v>1.0666666666666667</v>
      </c>
      <c r="M134">
        <f>Table6[[#This Row],[stressed_total_risk]]-Table6[[#This Row],[total_risk]]</f>
        <v>0.8</v>
      </c>
      <c r="N134" t="str">
        <f>_xlfn.XLOOKUP(Table6[[#This Row],[loan_id]],[1]!Loans[loan_id],[1]!Loans[loan_size_band])</f>
        <v>Large</v>
      </c>
      <c r="O134" s="4">
        <f>Table6[[#This Row],[total_paid]]/Table6[[#This Row],[total_due]]</f>
        <v>0.16943521594684385</v>
      </c>
    </row>
    <row r="135" spans="1:15" x14ac:dyDescent="0.25">
      <c r="A135" t="s">
        <v>148</v>
      </c>
      <c r="B135">
        <f>_xlfn.XLOOKUP(Table6[[#This Row],[loan_id]],[1]!Loans[loan_id],[1]!Loans[loan_amount])</f>
        <v>80000</v>
      </c>
      <c r="C135" s="4">
        <f>(Table6[[#This Row],[loan_amount]]*(1+0.02/6))</f>
        <v>80266.666666666672</v>
      </c>
      <c r="D135">
        <f>_xlfn.XLOOKUP(Table6[[#This Row],[loan_id]],[1]!Repayment[loan_id],[1]!Repayment[amount_paid])</f>
        <v>13600</v>
      </c>
      <c r="E135">
        <v>0</v>
      </c>
      <c r="F135">
        <f>_xlfn.XLOOKUP(Table6[[#This Row],[loan_id]],[1]!Loans[loan_id],[1]!Loans[structural_risk])</f>
        <v>0.8</v>
      </c>
      <c r="G135">
        <f>Table6[[#This Row],[behavioral_risk]]+Table6[[#This Row],[structural_risk]]</f>
        <v>0.8</v>
      </c>
      <c r="H135" s="5">
        <f>Table6[[#This Row],[total_risk]]/$G$202</f>
        <v>0.53333333333333333</v>
      </c>
      <c r="I135" t="str">
        <f>IF(Table6[[#This Row],[total_risk_pct]]&gt;0.8%,"YES","NO")</f>
        <v>YES</v>
      </c>
      <c r="J135">
        <f>IF(Table6[[#This Row],[loan_amount]]&gt;70000,2,1)</f>
        <v>2</v>
      </c>
      <c r="K135">
        <f>Table6[[#This Row],[total_risk]]*Table6[[#This Row],[stress_multiplier]]</f>
        <v>1.6</v>
      </c>
      <c r="L135" s="5">
        <f>Table6[[#This Row],[stressed_total_risk]]/$K$202</f>
        <v>1.0666666666666667</v>
      </c>
      <c r="M135">
        <f>Table6[[#This Row],[stressed_total_risk]]-Table6[[#This Row],[total_risk]]</f>
        <v>0.8</v>
      </c>
      <c r="N135" t="str">
        <f>_xlfn.XLOOKUP(Table6[[#This Row],[loan_id]],[1]!Loans[loan_id],[1]!Loans[loan_size_band])</f>
        <v>Large</v>
      </c>
      <c r="O135" s="4">
        <f>Table6[[#This Row],[total_paid]]/Table6[[#This Row],[total_due]]</f>
        <v>0.16943521594684385</v>
      </c>
    </row>
    <row r="136" spans="1:15" x14ac:dyDescent="0.25">
      <c r="A136" t="s">
        <v>149</v>
      </c>
      <c r="B136">
        <f>_xlfn.XLOOKUP(Table6[[#This Row],[loan_id]],[1]!Loans[loan_id],[1]!Loans[loan_amount])</f>
        <v>210000</v>
      </c>
      <c r="C136" s="4">
        <f>(Table6[[#This Row],[loan_amount]]*(1+0.02/6))</f>
        <v>210700.00000000003</v>
      </c>
      <c r="D136">
        <f>_xlfn.XLOOKUP(Table6[[#This Row],[loan_id]],[1]!Repayment[loan_id],[1]!Repayment[amount_paid])</f>
        <v>35700</v>
      </c>
      <c r="E136">
        <v>0</v>
      </c>
      <c r="F136">
        <f>_xlfn.XLOOKUP(Table6[[#This Row],[loan_id]],[1]!Loans[loan_id],[1]!Loans[structural_risk])</f>
        <v>0.8</v>
      </c>
      <c r="G136">
        <f>Table6[[#This Row],[behavioral_risk]]+Table6[[#This Row],[structural_risk]]</f>
        <v>0.8</v>
      </c>
      <c r="H136" s="5">
        <f>Table6[[#This Row],[total_risk]]/$G$202</f>
        <v>0.53333333333333333</v>
      </c>
      <c r="I136" t="str">
        <f>IF(Table6[[#This Row],[total_risk_pct]]&gt;0.8%,"YES","NO")</f>
        <v>YES</v>
      </c>
      <c r="J136">
        <f>IF(Table6[[#This Row],[loan_amount]]&gt;70000,2,1)</f>
        <v>2</v>
      </c>
      <c r="K136">
        <f>Table6[[#This Row],[total_risk]]*Table6[[#This Row],[stress_multiplier]]</f>
        <v>1.6</v>
      </c>
      <c r="L136" s="5">
        <f>Table6[[#This Row],[stressed_total_risk]]/$K$202</f>
        <v>1.0666666666666667</v>
      </c>
      <c r="M136">
        <f>Table6[[#This Row],[stressed_total_risk]]-Table6[[#This Row],[total_risk]]</f>
        <v>0.8</v>
      </c>
      <c r="N136" t="str">
        <f>_xlfn.XLOOKUP(Table6[[#This Row],[loan_id]],[1]!Loans[loan_id],[1]!Loans[loan_size_band])</f>
        <v>Large</v>
      </c>
      <c r="O136" s="4">
        <f>Table6[[#This Row],[total_paid]]/Table6[[#This Row],[total_due]]</f>
        <v>0.16943521594684383</v>
      </c>
    </row>
    <row r="137" spans="1:15" x14ac:dyDescent="0.25">
      <c r="A137" t="s">
        <v>150</v>
      </c>
      <c r="B137">
        <f>_xlfn.XLOOKUP(Table6[[#This Row],[loan_id]],[1]!Loans[loan_id],[1]!Loans[loan_amount])</f>
        <v>170000</v>
      </c>
      <c r="C137" s="4">
        <f>(Table6[[#This Row],[loan_amount]]*(1+0.02/6))</f>
        <v>170566.66666666669</v>
      </c>
      <c r="D137">
        <f>_xlfn.XLOOKUP(Table6[[#This Row],[loan_id]],[1]!Repayment[loan_id],[1]!Repayment[amount_paid])</f>
        <v>28900</v>
      </c>
      <c r="E137">
        <v>0</v>
      </c>
      <c r="F137">
        <f>_xlfn.XLOOKUP(Table6[[#This Row],[loan_id]],[1]!Loans[loan_id],[1]!Loans[structural_risk])</f>
        <v>0.8</v>
      </c>
      <c r="G137">
        <f>Table6[[#This Row],[behavioral_risk]]+Table6[[#This Row],[structural_risk]]</f>
        <v>0.8</v>
      </c>
      <c r="H137" s="5">
        <f>Table6[[#This Row],[total_risk]]/$G$202</f>
        <v>0.53333333333333333</v>
      </c>
      <c r="I137" t="str">
        <f>IF(Table6[[#This Row],[total_risk_pct]]&gt;0.8%,"YES","NO")</f>
        <v>YES</v>
      </c>
      <c r="J137">
        <f>IF(Table6[[#This Row],[loan_amount]]&gt;70000,2,1)</f>
        <v>2</v>
      </c>
      <c r="K137">
        <f>Table6[[#This Row],[total_risk]]*Table6[[#This Row],[stress_multiplier]]</f>
        <v>1.6</v>
      </c>
      <c r="L137" s="5">
        <f>Table6[[#This Row],[stressed_total_risk]]/$K$202</f>
        <v>1.0666666666666667</v>
      </c>
      <c r="M137">
        <f>Table6[[#This Row],[stressed_total_risk]]-Table6[[#This Row],[total_risk]]</f>
        <v>0.8</v>
      </c>
      <c r="N137" t="str">
        <f>_xlfn.XLOOKUP(Table6[[#This Row],[loan_id]],[1]!Loans[loan_id],[1]!Loans[loan_size_band])</f>
        <v>Large</v>
      </c>
      <c r="O137" s="4">
        <f>Table6[[#This Row],[total_paid]]/Table6[[#This Row],[total_due]]</f>
        <v>0.16943521594684383</v>
      </c>
    </row>
    <row r="138" spans="1:15" x14ac:dyDescent="0.25">
      <c r="A138" t="s">
        <v>151</v>
      </c>
      <c r="B138">
        <f>_xlfn.XLOOKUP(Table6[[#This Row],[loan_id]],[1]!Loans[loan_id],[1]!Loans[loan_amount])</f>
        <v>310000</v>
      </c>
      <c r="C138" s="4">
        <f>(Table6[[#This Row],[loan_amount]]*(1+0.02/6))</f>
        <v>311033.33333333337</v>
      </c>
      <c r="D138">
        <f>_xlfn.XLOOKUP(Table6[[#This Row],[loan_id]],[1]!Repayment[loan_id],[1]!Repayment[amount_paid])</f>
        <v>52700</v>
      </c>
      <c r="E138">
        <v>0</v>
      </c>
      <c r="F138">
        <f>_xlfn.XLOOKUP(Table6[[#This Row],[loan_id]],[1]!Loans[loan_id],[1]!Loans[structural_risk])</f>
        <v>0.8</v>
      </c>
      <c r="G138">
        <f>Table6[[#This Row],[behavioral_risk]]+Table6[[#This Row],[structural_risk]]</f>
        <v>0.8</v>
      </c>
      <c r="H138" s="5">
        <f>Table6[[#This Row],[total_risk]]/$G$202</f>
        <v>0.53333333333333333</v>
      </c>
      <c r="I138" t="str">
        <f>IF(Table6[[#This Row],[total_risk_pct]]&gt;0.8%,"YES","NO")</f>
        <v>YES</v>
      </c>
      <c r="J138">
        <f>IF(Table6[[#This Row],[loan_amount]]&gt;70000,2,1)</f>
        <v>2</v>
      </c>
      <c r="K138">
        <f>Table6[[#This Row],[total_risk]]*Table6[[#This Row],[stress_multiplier]]</f>
        <v>1.6</v>
      </c>
      <c r="L138" s="5">
        <f>Table6[[#This Row],[stressed_total_risk]]/$K$202</f>
        <v>1.0666666666666667</v>
      </c>
      <c r="M138">
        <f>Table6[[#This Row],[stressed_total_risk]]-Table6[[#This Row],[total_risk]]</f>
        <v>0.8</v>
      </c>
      <c r="N138" t="str">
        <f>_xlfn.XLOOKUP(Table6[[#This Row],[loan_id]],[1]!Loans[loan_id],[1]!Loans[loan_size_band])</f>
        <v>Large</v>
      </c>
      <c r="O138" s="4">
        <f>Table6[[#This Row],[total_paid]]/Table6[[#This Row],[total_due]]</f>
        <v>0.16943521594684383</v>
      </c>
    </row>
    <row r="139" spans="1:15" x14ac:dyDescent="0.25">
      <c r="A139" t="s">
        <v>152</v>
      </c>
      <c r="B139">
        <f>_xlfn.XLOOKUP(Table6[[#This Row],[loan_id]],[1]!Loans[loan_id],[1]!Loans[loan_amount])</f>
        <v>260000</v>
      </c>
      <c r="C139" s="4">
        <f>(Table6[[#This Row],[loan_amount]]*(1+0.02/6))</f>
        <v>260866.66666666669</v>
      </c>
      <c r="D139">
        <f>_xlfn.XLOOKUP(Table6[[#This Row],[loan_id]],[1]!Repayment[loan_id],[1]!Repayment[amount_paid])</f>
        <v>44200</v>
      </c>
      <c r="E139">
        <v>0</v>
      </c>
      <c r="F139">
        <f>_xlfn.XLOOKUP(Table6[[#This Row],[loan_id]],[1]!Loans[loan_id],[1]!Loans[structural_risk])</f>
        <v>0.8</v>
      </c>
      <c r="G139">
        <f>Table6[[#This Row],[behavioral_risk]]+Table6[[#This Row],[structural_risk]]</f>
        <v>0.8</v>
      </c>
      <c r="H139" s="5">
        <f>Table6[[#This Row],[total_risk]]/$G$202</f>
        <v>0.53333333333333333</v>
      </c>
      <c r="I139" t="str">
        <f>IF(Table6[[#This Row],[total_risk_pct]]&gt;0.8%,"YES","NO")</f>
        <v>YES</v>
      </c>
      <c r="J139">
        <f>IF(Table6[[#This Row],[loan_amount]]&gt;70000,2,1)</f>
        <v>2</v>
      </c>
      <c r="K139">
        <f>Table6[[#This Row],[total_risk]]*Table6[[#This Row],[stress_multiplier]]</f>
        <v>1.6</v>
      </c>
      <c r="L139" s="5">
        <f>Table6[[#This Row],[stressed_total_risk]]/$K$202</f>
        <v>1.0666666666666667</v>
      </c>
      <c r="M139">
        <f>Table6[[#This Row],[stressed_total_risk]]-Table6[[#This Row],[total_risk]]</f>
        <v>0.8</v>
      </c>
      <c r="N139" t="str">
        <f>_xlfn.XLOOKUP(Table6[[#This Row],[loan_id]],[1]!Loans[loan_id],[1]!Loans[loan_size_band])</f>
        <v>Large</v>
      </c>
      <c r="O139" s="4">
        <f>Table6[[#This Row],[total_paid]]/Table6[[#This Row],[total_due]]</f>
        <v>0.16943521594684385</v>
      </c>
    </row>
    <row r="140" spans="1:15" x14ac:dyDescent="0.25">
      <c r="A140" t="s">
        <v>153</v>
      </c>
      <c r="B140">
        <f>_xlfn.XLOOKUP(Table6[[#This Row],[loan_id]],[1]!Loans[loan_id],[1]!Loans[loan_amount])</f>
        <v>120000</v>
      </c>
      <c r="C140" s="4">
        <f>(Table6[[#This Row],[loan_amount]]*(1+0.02/6))</f>
        <v>120400.00000000001</v>
      </c>
      <c r="D140">
        <f>_xlfn.XLOOKUP(Table6[[#This Row],[loan_id]],[1]!Repayment[loan_id],[1]!Repayment[amount_paid])</f>
        <v>20400</v>
      </c>
      <c r="E140">
        <v>0</v>
      </c>
      <c r="F140">
        <f>_xlfn.XLOOKUP(Table6[[#This Row],[loan_id]],[1]!Loans[loan_id],[1]!Loans[structural_risk])</f>
        <v>0.8</v>
      </c>
      <c r="G140">
        <f>Table6[[#This Row],[behavioral_risk]]+Table6[[#This Row],[structural_risk]]</f>
        <v>0.8</v>
      </c>
      <c r="H140" s="5">
        <f>Table6[[#This Row],[total_risk]]/$G$202</f>
        <v>0.53333333333333333</v>
      </c>
      <c r="I140" t="str">
        <f>IF(Table6[[#This Row],[total_risk_pct]]&gt;0.8%,"YES","NO")</f>
        <v>YES</v>
      </c>
      <c r="J140">
        <f>IF(Table6[[#This Row],[loan_amount]]&gt;70000,2,1)</f>
        <v>2</v>
      </c>
      <c r="K140">
        <f>Table6[[#This Row],[total_risk]]*Table6[[#This Row],[stress_multiplier]]</f>
        <v>1.6</v>
      </c>
      <c r="L140" s="5">
        <f>Table6[[#This Row],[stressed_total_risk]]/$K$202</f>
        <v>1.0666666666666667</v>
      </c>
      <c r="M140">
        <f>Table6[[#This Row],[stressed_total_risk]]-Table6[[#This Row],[total_risk]]</f>
        <v>0.8</v>
      </c>
      <c r="N140" t="str">
        <f>_xlfn.XLOOKUP(Table6[[#This Row],[loan_id]],[1]!Loans[loan_id],[1]!Loans[loan_size_band])</f>
        <v>Large</v>
      </c>
      <c r="O140" s="4">
        <f>Table6[[#This Row],[total_paid]]/Table6[[#This Row],[total_due]]</f>
        <v>0.16943521594684383</v>
      </c>
    </row>
    <row r="141" spans="1:15" x14ac:dyDescent="0.25">
      <c r="A141" t="s">
        <v>154</v>
      </c>
      <c r="B141">
        <f>_xlfn.XLOOKUP(Table6[[#This Row],[loan_id]],[1]!Loans[loan_id],[1]!Loans[loan_amount])</f>
        <v>100000</v>
      </c>
      <c r="C141" s="4">
        <f>(Table6[[#This Row],[loan_amount]]*(1+0.02/6))</f>
        <v>100333.33333333334</v>
      </c>
      <c r="D141">
        <f>_xlfn.XLOOKUP(Table6[[#This Row],[loan_id]],[1]!Repayment[loan_id],[1]!Repayment[amount_paid])</f>
        <v>17000</v>
      </c>
      <c r="E141">
        <v>0</v>
      </c>
      <c r="F141">
        <f>_xlfn.XLOOKUP(Table6[[#This Row],[loan_id]],[1]!Loans[loan_id],[1]!Loans[structural_risk])</f>
        <v>0.8</v>
      </c>
      <c r="G141">
        <f>Table6[[#This Row],[behavioral_risk]]+Table6[[#This Row],[structural_risk]]</f>
        <v>0.8</v>
      </c>
      <c r="H141" s="5">
        <f>Table6[[#This Row],[total_risk]]/$G$202</f>
        <v>0.53333333333333333</v>
      </c>
      <c r="I141" t="str">
        <f>IF(Table6[[#This Row],[total_risk_pct]]&gt;0.8%,"YES","NO")</f>
        <v>YES</v>
      </c>
      <c r="J141">
        <f>IF(Table6[[#This Row],[loan_amount]]&gt;70000,2,1)</f>
        <v>2</v>
      </c>
      <c r="K141">
        <f>Table6[[#This Row],[total_risk]]*Table6[[#This Row],[stress_multiplier]]</f>
        <v>1.6</v>
      </c>
      <c r="L141" s="5">
        <f>Table6[[#This Row],[stressed_total_risk]]/$K$202</f>
        <v>1.0666666666666667</v>
      </c>
      <c r="M141">
        <f>Table6[[#This Row],[stressed_total_risk]]-Table6[[#This Row],[total_risk]]</f>
        <v>0.8</v>
      </c>
      <c r="N141" t="str">
        <f>_xlfn.XLOOKUP(Table6[[#This Row],[loan_id]],[1]!Loans[loan_id],[1]!Loans[loan_size_band])</f>
        <v>Large</v>
      </c>
      <c r="O141" s="4">
        <f>Table6[[#This Row],[total_paid]]/Table6[[#This Row],[total_due]]</f>
        <v>0.16943521594684383</v>
      </c>
    </row>
    <row r="142" spans="1:15" x14ac:dyDescent="0.25">
      <c r="A142" t="s">
        <v>155</v>
      </c>
      <c r="B142">
        <f>_xlfn.XLOOKUP(Table6[[#This Row],[loan_id]],[1]!Loans[loan_id],[1]!Loans[loan_amount])</f>
        <v>340000</v>
      </c>
      <c r="C142" s="4">
        <f>(Table6[[#This Row],[loan_amount]]*(1+0.02/6))</f>
        <v>341133.33333333337</v>
      </c>
      <c r="D142">
        <f>_xlfn.XLOOKUP(Table6[[#This Row],[loan_id]],[1]!Repayment[loan_id],[1]!Repayment[amount_paid])</f>
        <v>57800</v>
      </c>
      <c r="E142">
        <v>0</v>
      </c>
      <c r="F142">
        <f>_xlfn.XLOOKUP(Table6[[#This Row],[loan_id]],[1]!Loans[loan_id],[1]!Loans[structural_risk])</f>
        <v>0.8</v>
      </c>
      <c r="G142">
        <f>Table6[[#This Row],[behavioral_risk]]+Table6[[#This Row],[structural_risk]]</f>
        <v>0.8</v>
      </c>
      <c r="H142" s="5">
        <f>Table6[[#This Row],[total_risk]]/$G$202</f>
        <v>0.53333333333333333</v>
      </c>
      <c r="I142" t="str">
        <f>IF(Table6[[#This Row],[total_risk_pct]]&gt;0.8%,"YES","NO")</f>
        <v>YES</v>
      </c>
      <c r="J142">
        <f>IF(Table6[[#This Row],[loan_amount]]&gt;70000,2,1)</f>
        <v>2</v>
      </c>
      <c r="K142">
        <f>Table6[[#This Row],[total_risk]]*Table6[[#This Row],[stress_multiplier]]</f>
        <v>1.6</v>
      </c>
      <c r="L142" s="5">
        <f>Table6[[#This Row],[stressed_total_risk]]/$K$202</f>
        <v>1.0666666666666667</v>
      </c>
      <c r="M142">
        <f>Table6[[#This Row],[stressed_total_risk]]-Table6[[#This Row],[total_risk]]</f>
        <v>0.8</v>
      </c>
      <c r="N142" t="str">
        <f>_xlfn.XLOOKUP(Table6[[#This Row],[loan_id]],[1]!Loans[loan_id],[1]!Loans[loan_size_band])</f>
        <v>Large</v>
      </c>
      <c r="O142" s="4">
        <f>Table6[[#This Row],[total_paid]]/Table6[[#This Row],[total_due]]</f>
        <v>0.16943521594684383</v>
      </c>
    </row>
    <row r="143" spans="1:15" x14ac:dyDescent="0.25">
      <c r="A143" t="s">
        <v>156</v>
      </c>
      <c r="B143">
        <f>_xlfn.XLOOKUP(Table6[[#This Row],[loan_id]],[1]!Loans[loan_id],[1]!Loans[loan_amount])</f>
        <v>470000</v>
      </c>
      <c r="C143" s="4">
        <f>(Table6[[#This Row],[loan_amount]]*(1+0.02/6))</f>
        <v>471566.66666666669</v>
      </c>
      <c r="D143">
        <f>_xlfn.XLOOKUP(Table6[[#This Row],[loan_id]],[1]!Repayment[loan_id],[1]!Repayment[amount_paid])</f>
        <v>79900</v>
      </c>
      <c r="E143">
        <v>0</v>
      </c>
      <c r="F143">
        <f>_xlfn.XLOOKUP(Table6[[#This Row],[loan_id]],[1]!Loans[loan_id],[1]!Loans[structural_risk])</f>
        <v>0.8</v>
      </c>
      <c r="G143">
        <f>Table6[[#This Row],[behavioral_risk]]+Table6[[#This Row],[structural_risk]]</f>
        <v>0.8</v>
      </c>
      <c r="H143" s="5">
        <f>Table6[[#This Row],[total_risk]]/$G$202</f>
        <v>0.53333333333333333</v>
      </c>
      <c r="I143" t="str">
        <f>IF(Table6[[#This Row],[total_risk_pct]]&gt;0.8%,"YES","NO")</f>
        <v>YES</v>
      </c>
      <c r="J143">
        <f>IF(Table6[[#This Row],[loan_amount]]&gt;70000,2,1)</f>
        <v>2</v>
      </c>
      <c r="K143">
        <f>Table6[[#This Row],[total_risk]]*Table6[[#This Row],[stress_multiplier]]</f>
        <v>1.6</v>
      </c>
      <c r="L143" s="5">
        <f>Table6[[#This Row],[stressed_total_risk]]/$K$202</f>
        <v>1.0666666666666667</v>
      </c>
      <c r="M143">
        <f>Table6[[#This Row],[stressed_total_risk]]-Table6[[#This Row],[total_risk]]</f>
        <v>0.8</v>
      </c>
      <c r="N143" t="str">
        <f>_xlfn.XLOOKUP(Table6[[#This Row],[loan_id]],[1]!Loans[loan_id],[1]!Loans[loan_size_band])</f>
        <v>Large</v>
      </c>
      <c r="O143" s="4">
        <f>Table6[[#This Row],[total_paid]]/Table6[[#This Row],[total_due]]</f>
        <v>0.16943521594684385</v>
      </c>
    </row>
    <row r="144" spans="1:15" x14ac:dyDescent="0.25">
      <c r="A144" t="s">
        <v>157</v>
      </c>
      <c r="B144">
        <f>_xlfn.XLOOKUP(Table6[[#This Row],[loan_id]],[1]!Loans[loan_id],[1]!Loans[loan_amount])</f>
        <v>280000</v>
      </c>
      <c r="C144" s="4">
        <f>(Table6[[#This Row],[loan_amount]]*(1+0.02/6))</f>
        <v>280933.33333333337</v>
      </c>
      <c r="D144">
        <f>_xlfn.XLOOKUP(Table6[[#This Row],[loan_id]],[1]!Repayment[loan_id],[1]!Repayment[amount_paid])</f>
        <v>47600</v>
      </c>
      <c r="E144">
        <v>0</v>
      </c>
      <c r="F144">
        <f>_xlfn.XLOOKUP(Table6[[#This Row],[loan_id]],[1]!Loans[loan_id],[1]!Loans[structural_risk])</f>
        <v>0.8</v>
      </c>
      <c r="G144">
        <f>Table6[[#This Row],[behavioral_risk]]+Table6[[#This Row],[structural_risk]]</f>
        <v>0.8</v>
      </c>
      <c r="H144" s="5">
        <f>Table6[[#This Row],[total_risk]]/$G$202</f>
        <v>0.53333333333333333</v>
      </c>
      <c r="I144" t="str">
        <f>IF(Table6[[#This Row],[total_risk_pct]]&gt;0.8%,"YES","NO")</f>
        <v>YES</v>
      </c>
      <c r="J144">
        <f>IF(Table6[[#This Row],[loan_amount]]&gt;70000,2,1)</f>
        <v>2</v>
      </c>
      <c r="K144">
        <f>Table6[[#This Row],[total_risk]]*Table6[[#This Row],[stress_multiplier]]</f>
        <v>1.6</v>
      </c>
      <c r="L144" s="5">
        <f>Table6[[#This Row],[stressed_total_risk]]/$K$202</f>
        <v>1.0666666666666667</v>
      </c>
      <c r="M144">
        <f>Table6[[#This Row],[stressed_total_risk]]-Table6[[#This Row],[total_risk]]</f>
        <v>0.8</v>
      </c>
      <c r="N144" t="str">
        <f>_xlfn.XLOOKUP(Table6[[#This Row],[loan_id]],[1]!Loans[loan_id],[1]!Loans[loan_size_band])</f>
        <v>Large</v>
      </c>
      <c r="O144" s="4">
        <f>Table6[[#This Row],[total_paid]]/Table6[[#This Row],[total_due]]</f>
        <v>0.16943521594684383</v>
      </c>
    </row>
    <row r="145" spans="1:15" x14ac:dyDescent="0.25">
      <c r="A145" t="s">
        <v>158</v>
      </c>
      <c r="B145">
        <f>_xlfn.XLOOKUP(Table6[[#This Row],[loan_id]],[1]!Loans[loan_id],[1]!Loans[loan_amount])</f>
        <v>110000</v>
      </c>
      <c r="C145" s="4">
        <f>(Table6[[#This Row],[loan_amount]]*(1+0.02/6))</f>
        <v>110366.66666666667</v>
      </c>
      <c r="D145">
        <f>_xlfn.XLOOKUP(Table6[[#This Row],[loan_id]],[1]!Repayment[loan_id],[1]!Repayment[amount_paid])</f>
        <v>18700</v>
      </c>
      <c r="E145">
        <v>0</v>
      </c>
      <c r="F145">
        <f>_xlfn.XLOOKUP(Table6[[#This Row],[loan_id]],[1]!Loans[loan_id],[1]!Loans[structural_risk])</f>
        <v>0.8</v>
      </c>
      <c r="G145">
        <f>Table6[[#This Row],[behavioral_risk]]+Table6[[#This Row],[structural_risk]]</f>
        <v>0.8</v>
      </c>
      <c r="H145" s="5">
        <f>Table6[[#This Row],[total_risk]]/$G$202</f>
        <v>0.53333333333333333</v>
      </c>
      <c r="I145" t="str">
        <f>IF(Table6[[#This Row],[total_risk_pct]]&gt;0.8%,"YES","NO")</f>
        <v>YES</v>
      </c>
      <c r="J145">
        <f>IF(Table6[[#This Row],[loan_amount]]&gt;70000,2,1)</f>
        <v>2</v>
      </c>
      <c r="K145">
        <f>Table6[[#This Row],[total_risk]]*Table6[[#This Row],[stress_multiplier]]</f>
        <v>1.6</v>
      </c>
      <c r="L145" s="5">
        <f>Table6[[#This Row],[stressed_total_risk]]/$K$202</f>
        <v>1.0666666666666667</v>
      </c>
      <c r="M145">
        <f>Table6[[#This Row],[stressed_total_risk]]-Table6[[#This Row],[total_risk]]</f>
        <v>0.8</v>
      </c>
      <c r="N145" t="str">
        <f>_xlfn.XLOOKUP(Table6[[#This Row],[loan_id]],[1]!Loans[loan_id],[1]!Loans[loan_size_band])</f>
        <v>Large</v>
      </c>
      <c r="O145" s="4">
        <f>Table6[[#This Row],[total_paid]]/Table6[[#This Row],[total_due]]</f>
        <v>0.16943521594684385</v>
      </c>
    </row>
    <row r="146" spans="1:15" x14ac:dyDescent="0.25">
      <c r="A146" t="s">
        <v>159</v>
      </c>
      <c r="B146">
        <f>_xlfn.XLOOKUP(Table6[[#This Row],[loan_id]],[1]!Loans[loan_id],[1]!Loans[loan_amount])</f>
        <v>320000</v>
      </c>
      <c r="C146" s="4">
        <f>(Table6[[#This Row],[loan_amount]]*(1+0.02/6))</f>
        <v>321066.66666666669</v>
      </c>
      <c r="D146">
        <f>_xlfn.XLOOKUP(Table6[[#This Row],[loan_id]],[1]!Repayment[loan_id],[1]!Repayment[amount_paid])</f>
        <v>54400</v>
      </c>
      <c r="E146">
        <v>0</v>
      </c>
      <c r="F146">
        <f>_xlfn.XLOOKUP(Table6[[#This Row],[loan_id]],[1]!Loans[loan_id],[1]!Loans[structural_risk])</f>
        <v>0.8</v>
      </c>
      <c r="G146">
        <f>Table6[[#This Row],[behavioral_risk]]+Table6[[#This Row],[structural_risk]]</f>
        <v>0.8</v>
      </c>
      <c r="H146" s="5">
        <f>Table6[[#This Row],[total_risk]]/$G$202</f>
        <v>0.53333333333333333</v>
      </c>
      <c r="I146" t="str">
        <f>IF(Table6[[#This Row],[total_risk_pct]]&gt;0.8%,"YES","NO")</f>
        <v>YES</v>
      </c>
      <c r="J146">
        <f>IF(Table6[[#This Row],[loan_amount]]&gt;70000,2,1)</f>
        <v>2</v>
      </c>
      <c r="K146">
        <f>Table6[[#This Row],[total_risk]]*Table6[[#This Row],[stress_multiplier]]</f>
        <v>1.6</v>
      </c>
      <c r="L146" s="5">
        <f>Table6[[#This Row],[stressed_total_risk]]/$K$202</f>
        <v>1.0666666666666667</v>
      </c>
      <c r="M146">
        <f>Table6[[#This Row],[stressed_total_risk]]-Table6[[#This Row],[total_risk]]</f>
        <v>0.8</v>
      </c>
      <c r="N146" t="str">
        <f>_xlfn.XLOOKUP(Table6[[#This Row],[loan_id]],[1]!Loans[loan_id],[1]!Loans[loan_size_band])</f>
        <v>Large</v>
      </c>
      <c r="O146" s="4">
        <f>Table6[[#This Row],[total_paid]]/Table6[[#This Row],[total_due]]</f>
        <v>0.16943521594684385</v>
      </c>
    </row>
    <row r="147" spans="1:15" x14ac:dyDescent="0.25">
      <c r="A147" t="s">
        <v>160</v>
      </c>
      <c r="B147">
        <f>_xlfn.XLOOKUP(Table6[[#This Row],[loan_id]],[1]!Loans[loan_id],[1]!Loans[loan_amount])</f>
        <v>170000</v>
      </c>
      <c r="C147" s="4">
        <f>(Table6[[#This Row],[loan_amount]]*(1+0.02/6))</f>
        <v>170566.66666666669</v>
      </c>
      <c r="D147">
        <f>_xlfn.XLOOKUP(Table6[[#This Row],[loan_id]],[1]!Repayment[loan_id],[1]!Repayment[amount_paid])</f>
        <v>28900</v>
      </c>
      <c r="E147">
        <v>0</v>
      </c>
      <c r="F147">
        <f>_xlfn.XLOOKUP(Table6[[#This Row],[loan_id]],[1]!Loans[loan_id],[1]!Loans[structural_risk])</f>
        <v>0.8</v>
      </c>
      <c r="G147">
        <f>Table6[[#This Row],[behavioral_risk]]+Table6[[#This Row],[structural_risk]]</f>
        <v>0.8</v>
      </c>
      <c r="H147" s="5">
        <f>Table6[[#This Row],[total_risk]]/$G$202</f>
        <v>0.53333333333333333</v>
      </c>
      <c r="I147" t="str">
        <f>IF(Table6[[#This Row],[total_risk_pct]]&gt;0.8%,"YES","NO")</f>
        <v>YES</v>
      </c>
      <c r="J147">
        <f>IF(Table6[[#This Row],[loan_amount]]&gt;70000,2,1)</f>
        <v>2</v>
      </c>
      <c r="K147">
        <f>Table6[[#This Row],[total_risk]]*Table6[[#This Row],[stress_multiplier]]</f>
        <v>1.6</v>
      </c>
      <c r="L147" s="5">
        <f>Table6[[#This Row],[stressed_total_risk]]/$K$202</f>
        <v>1.0666666666666667</v>
      </c>
      <c r="M147">
        <f>Table6[[#This Row],[stressed_total_risk]]-Table6[[#This Row],[total_risk]]</f>
        <v>0.8</v>
      </c>
      <c r="N147" t="str">
        <f>_xlfn.XLOOKUP(Table6[[#This Row],[loan_id]],[1]!Loans[loan_id],[1]!Loans[loan_size_band])</f>
        <v>Large</v>
      </c>
      <c r="O147" s="4">
        <f>Table6[[#This Row],[total_paid]]/Table6[[#This Row],[total_due]]</f>
        <v>0.16943521594684383</v>
      </c>
    </row>
    <row r="148" spans="1:15" x14ac:dyDescent="0.25">
      <c r="A148" t="s">
        <v>161</v>
      </c>
      <c r="B148">
        <f>_xlfn.XLOOKUP(Table6[[#This Row],[loan_id]],[1]!Loans[loan_id],[1]!Loans[loan_amount])</f>
        <v>140000</v>
      </c>
      <c r="C148" s="4">
        <f>(Table6[[#This Row],[loan_amount]]*(1+0.02/6))</f>
        <v>140466.66666666669</v>
      </c>
      <c r="D148">
        <f>_xlfn.XLOOKUP(Table6[[#This Row],[loan_id]],[1]!Repayment[loan_id],[1]!Repayment[amount_paid])</f>
        <v>23800</v>
      </c>
      <c r="E148">
        <v>0</v>
      </c>
      <c r="F148">
        <f>_xlfn.XLOOKUP(Table6[[#This Row],[loan_id]],[1]!Loans[loan_id],[1]!Loans[structural_risk])</f>
        <v>0.8</v>
      </c>
      <c r="G148">
        <f>Table6[[#This Row],[behavioral_risk]]+Table6[[#This Row],[structural_risk]]</f>
        <v>0.8</v>
      </c>
      <c r="H148" s="5">
        <f>Table6[[#This Row],[total_risk]]/$G$202</f>
        <v>0.53333333333333333</v>
      </c>
      <c r="I148" t="str">
        <f>IF(Table6[[#This Row],[total_risk_pct]]&gt;0.8%,"YES","NO")</f>
        <v>YES</v>
      </c>
      <c r="J148">
        <f>IF(Table6[[#This Row],[loan_amount]]&gt;70000,2,1)</f>
        <v>2</v>
      </c>
      <c r="K148">
        <f>Table6[[#This Row],[total_risk]]*Table6[[#This Row],[stress_multiplier]]</f>
        <v>1.6</v>
      </c>
      <c r="L148" s="5">
        <f>Table6[[#This Row],[stressed_total_risk]]/$K$202</f>
        <v>1.0666666666666667</v>
      </c>
      <c r="M148">
        <f>Table6[[#This Row],[stressed_total_risk]]-Table6[[#This Row],[total_risk]]</f>
        <v>0.8</v>
      </c>
      <c r="N148" t="str">
        <f>_xlfn.XLOOKUP(Table6[[#This Row],[loan_id]],[1]!Loans[loan_id],[1]!Loans[loan_size_band])</f>
        <v>Large</v>
      </c>
      <c r="O148" s="4">
        <f>Table6[[#This Row],[total_paid]]/Table6[[#This Row],[total_due]]</f>
        <v>0.16943521594684383</v>
      </c>
    </row>
    <row r="149" spans="1:15" x14ac:dyDescent="0.25">
      <c r="A149" t="s">
        <v>162</v>
      </c>
      <c r="B149">
        <f>_xlfn.XLOOKUP(Table6[[#This Row],[loan_id]],[1]!Loans[loan_id],[1]!Loans[loan_amount])</f>
        <v>80000</v>
      </c>
      <c r="C149" s="4">
        <f>(Table6[[#This Row],[loan_amount]]*(1+0.02/6))</f>
        <v>80266.666666666672</v>
      </c>
      <c r="D149">
        <f>_xlfn.XLOOKUP(Table6[[#This Row],[loan_id]],[1]!Repayment[loan_id],[1]!Repayment[amount_paid])</f>
        <v>13600</v>
      </c>
      <c r="E149">
        <v>0</v>
      </c>
      <c r="F149">
        <f>_xlfn.XLOOKUP(Table6[[#This Row],[loan_id]],[1]!Loans[loan_id],[1]!Loans[structural_risk])</f>
        <v>0.8</v>
      </c>
      <c r="G149">
        <f>Table6[[#This Row],[behavioral_risk]]+Table6[[#This Row],[structural_risk]]</f>
        <v>0.8</v>
      </c>
      <c r="H149" s="5">
        <f>Table6[[#This Row],[total_risk]]/$G$202</f>
        <v>0.53333333333333333</v>
      </c>
      <c r="I149" t="str">
        <f>IF(Table6[[#This Row],[total_risk_pct]]&gt;0.8%,"YES","NO")</f>
        <v>YES</v>
      </c>
      <c r="J149">
        <f>IF(Table6[[#This Row],[loan_amount]]&gt;70000,2,1)</f>
        <v>2</v>
      </c>
      <c r="K149">
        <f>Table6[[#This Row],[total_risk]]*Table6[[#This Row],[stress_multiplier]]</f>
        <v>1.6</v>
      </c>
      <c r="L149" s="5">
        <f>Table6[[#This Row],[stressed_total_risk]]/$K$202</f>
        <v>1.0666666666666667</v>
      </c>
      <c r="M149">
        <f>Table6[[#This Row],[stressed_total_risk]]-Table6[[#This Row],[total_risk]]</f>
        <v>0.8</v>
      </c>
      <c r="N149" t="str">
        <f>_xlfn.XLOOKUP(Table6[[#This Row],[loan_id]],[1]!Loans[loan_id],[1]!Loans[loan_size_band])</f>
        <v>Large</v>
      </c>
      <c r="O149" s="4">
        <f>Table6[[#This Row],[total_paid]]/Table6[[#This Row],[total_due]]</f>
        <v>0.16943521594684385</v>
      </c>
    </row>
    <row r="150" spans="1:15" x14ac:dyDescent="0.25">
      <c r="A150" t="s">
        <v>163</v>
      </c>
      <c r="B150">
        <f>_xlfn.XLOOKUP(Table6[[#This Row],[loan_id]],[1]!Loans[loan_id],[1]!Loans[loan_amount])</f>
        <v>110000</v>
      </c>
      <c r="C150" s="4">
        <f>(Table6[[#This Row],[loan_amount]]*(1+0.02/6))</f>
        <v>110366.66666666667</v>
      </c>
      <c r="D150">
        <f>_xlfn.XLOOKUP(Table6[[#This Row],[loan_id]],[1]!Repayment[loan_id],[1]!Repayment[amount_paid])</f>
        <v>18700</v>
      </c>
      <c r="E150">
        <v>0</v>
      </c>
      <c r="F150">
        <f>_xlfn.XLOOKUP(Table6[[#This Row],[loan_id]],[1]!Loans[loan_id],[1]!Loans[structural_risk])</f>
        <v>0.8</v>
      </c>
      <c r="G150">
        <f>Table6[[#This Row],[behavioral_risk]]+Table6[[#This Row],[structural_risk]]</f>
        <v>0.8</v>
      </c>
      <c r="H150" s="5">
        <f>Table6[[#This Row],[total_risk]]/$G$202</f>
        <v>0.53333333333333333</v>
      </c>
      <c r="I150" t="str">
        <f>IF(Table6[[#This Row],[total_risk_pct]]&gt;0.8%,"YES","NO")</f>
        <v>YES</v>
      </c>
      <c r="J150">
        <f>IF(Table6[[#This Row],[loan_amount]]&gt;70000,2,1)</f>
        <v>2</v>
      </c>
      <c r="K150">
        <f>Table6[[#This Row],[total_risk]]*Table6[[#This Row],[stress_multiplier]]</f>
        <v>1.6</v>
      </c>
      <c r="L150" s="5">
        <f>Table6[[#This Row],[stressed_total_risk]]/$K$202</f>
        <v>1.0666666666666667</v>
      </c>
      <c r="M150">
        <f>Table6[[#This Row],[stressed_total_risk]]-Table6[[#This Row],[total_risk]]</f>
        <v>0.8</v>
      </c>
      <c r="N150" t="str">
        <f>_xlfn.XLOOKUP(Table6[[#This Row],[loan_id]],[1]!Loans[loan_id],[1]!Loans[loan_size_band])</f>
        <v>Large</v>
      </c>
      <c r="O150" s="4">
        <f>Table6[[#This Row],[total_paid]]/Table6[[#This Row],[total_due]]</f>
        <v>0.16943521594684385</v>
      </c>
    </row>
    <row r="151" spans="1:15" x14ac:dyDescent="0.25">
      <c r="A151" t="s">
        <v>164</v>
      </c>
      <c r="B151">
        <f>_xlfn.XLOOKUP(Table6[[#This Row],[loan_id]],[1]!Loans[loan_id],[1]!Loans[loan_amount])</f>
        <v>140000</v>
      </c>
      <c r="C151" s="4">
        <f>(Table6[[#This Row],[loan_amount]]*(1+0.02/6))</f>
        <v>140466.66666666669</v>
      </c>
      <c r="D151">
        <f>_xlfn.XLOOKUP(Table6[[#This Row],[loan_id]],[1]!Repayment[loan_id],[1]!Repayment[amount_paid])</f>
        <v>23800</v>
      </c>
      <c r="E151">
        <v>0</v>
      </c>
      <c r="F151">
        <f>_xlfn.XLOOKUP(Table6[[#This Row],[loan_id]],[1]!Loans[loan_id],[1]!Loans[structural_risk])</f>
        <v>0.8</v>
      </c>
      <c r="G151">
        <f>Table6[[#This Row],[behavioral_risk]]+Table6[[#This Row],[structural_risk]]</f>
        <v>0.8</v>
      </c>
      <c r="H151" s="5">
        <f>Table6[[#This Row],[total_risk]]/$G$202</f>
        <v>0.53333333333333333</v>
      </c>
      <c r="I151" t="str">
        <f>IF(Table6[[#This Row],[total_risk_pct]]&gt;0.8%,"YES","NO")</f>
        <v>YES</v>
      </c>
      <c r="J151">
        <f>IF(Table6[[#This Row],[loan_amount]]&gt;70000,2,1)</f>
        <v>2</v>
      </c>
      <c r="K151">
        <f>Table6[[#This Row],[total_risk]]*Table6[[#This Row],[stress_multiplier]]</f>
        <v>1.6</v>
      </c>
      <c r="L151" s="5">
        <f>Table6[[#This Row],[stressed_total_risk]]/$K$202</f>
        <v>1.0666666666666667</v>
      </c>
      <c r="M151">
        <f>Table6[[#This Row],[stressed_total_risk]]-Table6[[#This Row],[total_risk]]</f>
        <v>0.8</v>
      </c>
      <c r="N151" t="str">
        <f>_xlfn.XLOOKUP(Table6[[#This Row],[loan_id]],[1]!Loans[loan_id],[1]!Loans[loan_size_band])</f>
        <v>Large</v>
      </c>
      <c r="O151" s="4">
        <f>Table6[[#This Row],[total_paid]]/Table6[[#This Row],[total_due]]</f>
        <v>0.16943521594684383</v>
      </c>
    </row>
    <row r="152" spans="1:15" x14ac:dyDescent="0.25">
      <c r="A152" t="s">
        <v>165</v>
      </c>
      <c r="B152">
        <f>_xlfn.XLOOKUP(Table6[[#This Row],[loan_id]],[1]!Loans[loan_id],[1]!Loans[loan_amount])</f>
        <v>90000</v>
      </c>
      <c r="C152" s="4">
        <f>(Table6[[#This Row],[loan_amount]]*(1+0.02/6))</f>
        <v>90300</v>
      </c>
      <c r="D152">
        <f>_xlfn.XLOOKUP(Table6[[#This Row],[loan_id]],[1]!Repayment[loan_id],[1]!Repayment[amount_paid])</f>
        <v>15300</v>
      </c>
      <c r="E152">
        <v>0</v>
      </c>
      <c r="F152">
        <f>_xlfn.XLOOKUP(Table6[[#This Row],[loan_id]],[1]!Loans[loan_id],[1]!Loans[structural_risk])</f>
        <v>0.8</v>
      </c>
      <c r="G152">
        <f>Table6[[#This Row],[behavioral_risk]]+Table6[[#This Row],[structural_risk]]</f>
        <v>0.8</v>
      </c>
      <c r="H152" s="5">
        <f>Table6[[#This Row],[total_risk]]/$G$202</f>
        <v>0.53333333333333333</v>
      </c>
      <c r="I152" t="str">
        <f>IF(Table6[[#This Row],[total_risk_pct]]&gt;0.8%,"YES","NO")</f>
        <v>YES</v>
      </c>
      <c r="J152">
        <f>IF(Table6[[#This Row],[loan_amount]]&gt;70000,2,1)</f>
        <v>2</v>
      </c>
      <c r="K152">
        <f>Table6[[#This Row],[total_risk]]*Table6[[#This Row],[stress_multiplier]]</f>
        <v>1.6</v>
      </c>
      <c r="L152" s="5">
        <f>Table6[[#This Row],[stressed_total_risk]]/$K$202</f>
        <v>1.0666666666666667</v>
      </c>
      <c r="M152">
        <f>Table6[[#This Row],[stressed_total_risk]]-Table6[[#This Row],[total_risk]]</f>
        <v>0.8</v>
      </c>
      <c r="N152" t="str">
        <f>_xlfn.XLOOKUP(Table6[[#This Row],[loan_id]],[1]!Loans[loan_id],[1]!Loans[loan_size_band])</f>
        <v>Large</v>
      </c>
      <c r="O152" s="4">
        <f>Table6[[#This Row],[total_paid]]/Table6[[#This Row],[total_due]]</f>
        <v>0.16943521594684385</v>
      </c>
    </row>
    <row r="153" spans="1:15" x14ac:dyDescent="0.25">
      <c r="A153" t="s">
        <v>166</v>
      </c>
      <c r="B153">
        <f>_xlfn.XLOOKUP(Table6[[#This Row],[loan_id]],[1]!Loans[loan_id],[1]!Loans[loan_amount])</f>
        <v>210000</v>
      </c>
      <c r="C153" s="4">
        <f>(Table6[[#This Row],[loan_amount]]*(1+0.02/6))</f>
        <v>210700.00000000003</v>
      </c>
      <c r="D153">
        <f>_xlfn.XLOOKUP(Table6[[#This Row],[loan_id]],[1]!Repayment[loan_id],[1]!Repayment[amount_paid])</f>
        <v>35700</v>
      </c>
      <c r="E153">
        <v>0</v>
      </c>
      <c r="F153">
        <f>_xlfn.XLOOKUP(Table6[[#This Row],[loan_id]],[1]!Loans[loan_id],[1]!Loans[structural_risk])</f>
        <v>0.8</v>
      </c>
      <c r="G153">
        <f>Table6[[#This Row],[behavioral_risk]]+Table6[[#This Row],[structural_risk]]</f>
        <v>0.8</v>
      </c>
      <c r="H153" s="5">
        <f>Table6[[#This Row],[total_risk]]/$G$202</f>
        <v>0.53333333333333333</v>
      </c>
      <c r="I153" t="str">
        <f>IF(Table6[[#This Row],[total_risk_pct]]&gt;0.8%,"YES","NO")</f>
        <v>YES</v>
      </c>
      <c r="J153">
        <f>IF(Table6[[#This Row],[loan_amount]]&gt;70000,2,1)</f>
        <v>2</v>
      </c>
      <c r="K153">
        <f>Table6[[#This Row],[total_risk]]*Table6[[#This Row],[stress_multiplier]]</f>
        <v>1.6</v>
      </c>
      <c r="L153" s="5">
        <f>Table6[[#This Row],[stressed_total_risk]]/$K$202</f>
        <v>1.0666666666666667</v>
      </c>
      <c r="M153">
        <f>Table6[[#This Row],[stressed_total_risk]]-Table6[[#This Row],[total_risk]]</f>
        <v>0.8</v>
      </c>
      <c r="N153" t="str">
        <f>_xlfn.XLOOKUP(Table6[[#This Row],[loan_id]],[1]!Loans[loan_id],[1]!Loans[loan_size_band])</f>
        <v>Large</v>
      </c>
      <c r="O153" s="4">
        <f>Table6[[#This Row],[total_paid]]/Table6[[#This Row],[total_due]]</f>
        <v>0.16943521594684383</v>
      </c>
    </row>
    <row r="154" spans="1:15" x14ac:dyDescent="0.25">
      <c r="A154" t="s">
        <v>167</v>
      </c>
      <c r="B154">
        <f>_xlfn.XLOOKUP(Table6[[#This Row],[loan_id]],[1]!Loans[loan_id],[1]!Loans[loan_amount])</f>
        <v>380000</v>
      </c>
      <c r="C154" s="4">
        <f>(Table6[[#This Row],[loan_amount]]*(1+0.02/6))</f>
        <v>381266.66666666669</v>
      </c>
      <c r="D154">
        <f>_xlfn.XLOOKUP(Table6[[#This Row],[loan_id]],[1]!Repayment[loan_id],[1]!Repayment[amount_paid])</f>
        <v>64600</v>
      </c>
      <c r="E154">
        <v>0</v>
      </c>
      <c r="F154">
        <f>_xlfn.XLOOKUP(Table6[[#This Row],[loan_id]],[1]!Loans[loan_id],[1]!Loans[structural_risk])</f>
        <v>0.8</v>
      </c>
      <c r="G154">
        <f>Table6[[#This Row],[behavioral_risk]]+Table6[[#This Row],[structural_risk]]</f>
        <v>0.8</v>
      </c>
      <c r="H154" s="5">
        <f>Table6[[#This Row],[total_risk]]/$G$202</f>
        <v>0.53333333333333333</v>
      </c>
      <c r="I154" t="str">
        <f>IF(Table6[[#This Row],[total_risk_pct]]&gt;0.8%,"YES","NO")</f>
        <v>YES</v>
      </c>
      <c r="J154">
        <f>IF(Table6[[#This Row],[loan_amount]]&gt;70000,2,1)</f>
        <v>2</v>
      </c>
      <c r="K154">
        <f>Table6[[#This Row],[total_risk]]*Table6[[#This Row],[stress_multiplier]]</f>
        <v>1.6</v>
      </c>
      <c r="L154" s="5">
        <f>Table6[[#This Row],[stressed_total_risk]]/$K$202</f>
        <v>1.0666666666666667</v>
      </c>
      <c r="M154">
        <f>Table6[[#This Row],[stressed_total_risk]]-Table6[[#This Row],[total_risk]]</f>
        <v>0.8</v>
      </c>
      <c r="N154" t="str">
        <f>_xlfn.XLOOKUP(Table6[[#This Row],[loan_id]],[1]!Loans[loan_id],[1]!Loans[loan_size_band])</f>
        <v>Large</v>
      </c>
      <c r="O154" s="4">
        <f>Table6[[#This Row],[total_paid]]/Table6[[#This Row],[total_due]]</f>
        <v>0.16943521594684385</v>
      </c>
    </row>
    <row r="155" spans="1:15" x14ac:dyDescent="0.25">
      <c r="A155" t="s">
        <v>168</v>
      </c>
      <c r="B155">
        <f>_xlfn.XLOOKUP(Table6[[#This Row],[loan_id]],[1]!Loans[loan_id],[1]!Loans[loan_amount])</f>
        <v>320000</v>
      </c>
      <c r="C155" s="4">
        <f>(Table6[[#This Row],[loan_amount]]*(1+0.02/6))</f>
        <v>321066.66666666669</v>
      </c>
      <c r="D155">
        <f>_xlfn.XLOOKUP(Table6[[#This Row],[loan_id]],[1]!Repayment[loan_id],[1]!Repayment[amount_paid])</f>
        <v>54400</v>
      </c>
      <c r="E155">
        <v>0</v>
      </c>
      <c r="F155">
        <f>_xlfn.XLOOKUP(Table6[[#This Row],[loan_id]],[1]!Loans[loan_id],[1]!Loans[structural_risk])</f>
        <v>0.8</v>
      </c>
      <c r="G155">
        <f>Table6[[#This Row],[behavioral_risk]]+Table6[[#This Row],[structural_risk]]</f>
        <v>0.8</v>
      </c>
      <c r="H155" s="5">
        <f>Table6[[#This Row],[total_risk]]/$G$202</f>
        <v>0.53333333333333333</v>
      </c>
      <c r="I155" t="str">
        <f>IF(Table6[[#This Row],[total_risk_pct]]&gt;0.8%,"YES","NO")</f>
        <v>YES</v>
      </c>
      <c r="J155">
        <f>IF(Table6[[#This Row],[loan_amount]]&gt;70000,2,1)</f>
        <v>2</v>
      </c>
      <c r="K155">
        <f>Table6[[#This Row],[total_risk]]*Table6[[#This Row],[stress_multiplier]]</f>
        <v>1.6</v>
      </c>
      <c r="L155" s="5">
        <f>Table6[[#This Row],[stressed_total_risk]]/$K$202</f>
        <v>1.0666666666666667</v>
      </c>
      <c r="M155">
        <f>Table6[[#This Row],[stressed_total_risk]]-Table6[[#This Row],[total_risk]]</f>
        <v>0.8</v>
      </c>
      <c r="N155" t="str">
        <f>_xlfn.XLOOKUP(Table6[[#This Row],[loan_id]],[1]!Loans[loan_id],[1]!Loans[loan_size_band])</f>
        <v>Large</v>
      </c>
      <c r="O155" s="4">
        <f>Table6[[#This Row],[total_paid]]/Table6[[#This Row],[total_due]]</f>
        <v>0.16943521594684385</v>
      </c>
    </row>
    <row r="156" spans="1:15" x14ac:dyDescent="0.25">
      <c r="A156" t="s">
        <v>169</v>
      </c>
      <c r="B156">
        <f>_xlfn.XLOOKUP(Table6[[#This Row],[loan_id]],[1]!Loans[loan_id],[1]!Loans[loan_amount])</f>
        <v>340000</v>
      </c>
      <c r="C156" s="4">
        <f>(Table6[[#This Row],[loan_amount]]*(1+0.02/6))</f>
        <v>341133.33333333337</v>
      </c>
      <c r="D156">
        <f>_xlfn.XLOOKUP(Table6[[#This Row],[loan_id]],[1]!Repayment[loan_id],[1]!Repayment[amount_paid])</f>
        <v>57800</v>
      </c>
      <c r="E156">
        <v>0</v>
      </c>
      <c r="F156">
        <f>_xlfn.XLOOKUP(Table6[[#This Row],[loan_id]],[1]!Loans[loan_id],[1]!Loans[structural_risk])</f>
        <v>0.8</v>
      </c>
      <c r="G156">
        <f>Table6[[#This Row],[behavioral_risk]]+Table6[[#This Row],[structural_risk]]</f>
        <v>0.8</v>
      </c>
      <c r="H156" s="5">
        <f>Table6[[#This Row],[total_risk]]/$G$202</f>
        <v>0.53333333333333333</v>
      </c>
      <c r="I156" t="str">
        <f>IF(Table6[[#This Row],[total_risk_pct]]&gt;0.8%,"YES","NO")</f>
        <v>YES</v>
      </c>
      <c r="J156">
        <f>IF(Table6[[#This Row],[loan_amount]]&gt;70000,2,1)</f>
        <v>2</v>
      </c>
      <c r="K156">
        <f>Table6[[#This Row],[total_risk]]*Table6[[#This Row],[stress_multiplier]]</f>
        <v>1.6</v>
      </c>
      <c r="L156" s="5">
        <f>Table6[[#This Row],[stressed_total_risk]]/$K$202</f>
        <v>1.0666666666666667</v>
      </c>
      <c r="M156">
        <f>Table6[[#This Row],[stressed_total_risk]]-Table6[[#This Row],[total_risk]]</f>
        <v>0.8</v>
      </c>
      <c r="N156" t="str">
        <f>_xlfn.XLOOKUP(Table6[[#This Row],[loan_id]],[1]!Loans[loan_id],[1]!Loans[loan_size_band])</f>
        <v>Large</v>
      </c>
      <c r="O156" s="4">
        <f>Table6[[#This Row],[total_paid]]/Table6[[#This Row],[total_due]]</f>
        <v>0.16943521594684383</v>
      </c>
    </row>
    <row r="157" spans="1:15" x14ac:dyDescent="0.25">
      <c r="A157" t="s">
        <v>170</v>
      </c>
      <c r="B157">
        <f>_xlfn.XLOOKUP(Table6[[#This Row],[loan_id]],[1]!Loans[loan_id],[1]!Loans[loan_amount])</f>
        <v>130000</v>
      </c>
      <c r="C157" s="4">
        <f>(Table6[[#This Row],[loan_amount]]*(1+0.02/6))</f>
        <v>130433.33333333334</v>
      </c>
      <c r="D157">
        <f>_xlfn.XLOOKUP(Table6[[#This Row],[loan_id]],[1]!Repayment[loan_id],[1]!Repayment[amount_paid])</f>
        <v>22100</v>
      </c>
      <c r="E157">
        <v>0</v>
      </c>
      <c r="F157">
        <f>_xlfn.XLOOKUP(Table6[[#This Row],[loan_id]],[1]!Loans[loan_id],[1]!Loans[structural_risk])</f>
        <v>0.8</v>
      </c>
      <c r="G157">
        <f>Table6[[#This Row],[behavioral_risk]]+Table6[[#This Row],[structural_risk]]</f>
        <v>0.8</v>
      </c>
      <c r="H157" s="5">
        <f>Table6[[#This Row],[total_risk]]/$G$202</f>
        <v>0.53333333333333333</v>
      </c>
      <c r="I157" t="str">
        <f>IF(Table6[[#This Row],[total_risk_pct]]&gt;0.8%,"YES","NO")</f>
        <v>YES</v>
      </c>
      <c r="J157">
        <f>IF(Table6[[#This Row],[loan_amount]]&gt;70000,2,1)</f>
        <v>2</v>
      </c>
      <c r="K157">
        <f>Table6[[#This Row],[total_risk]]*Table6[[#This Row],[stress_multiplier]]</f>
        <v>1.6</v>
      </c>
      <c r="L157" s="5">
        <f>Table6[[#This Row],[stressed_total_risk]]/$K$202</f>
        <v>1.0666666666666667</v>
      </c>
      <c r="M157">
        <f>Table6[[#This Row],[stressed_total_risk]]-Table6[[#This Row],[total_risk]]</f>
        <v>0.8</v>
      </c>
      <c r="N157" t="str">
        <f>_xlfn.XLOOKUP(Table6[[#This Row],[loan_id]],[1]!Loans[loan_id],[1]!Loans[loan_size_band])</f>
        <v>Large</v>
      </c>
      <c r="O157" s="4">
        <f>Table6[[#This Row],[total_paid]]/Table6[[#This Row],[total_due]]</f>
        <v>0.16943521594684385</v>
      </c>
    </row>
    <row r="158" spans="1:15" x14ac:dyDescent="0.25">
      <c r="A158" t="s">
        <v>171</v>
      </c>
      <c r="B158">
        <f>_xlfn.XLOOKUP(Table6[[#This Row],[loan_id]],[1]!Loans[loan_id],[1]!Loans[loan_amount])</f>
        <v>170000</v>
      </c>
      <c r="C158" s="4">
        <f>(Table6[[#This Row],[loan_amount]]*(1+0.02/6))</f>
        <v>170566.66666666669</v>
      </c>
      <c r="D158">
        <f>_xlfn.XLOOKUP(Table6[[#This Row],[loan_id]],[1]!Repayment[loan_id],[1]!Repayment[amount_paid])</f>
        <v>28900</v>
      </c>
      <c r="E158">
        <v>0</v>
      </c>
      <c r="F158">
        <f>_xlfn.XLOOKUP(Table6[[#This Row],[loan_id]],[1]!Loans[loan_id],[1]!Loans[structural_risk])</f>
        <v>0.8</v>
      </c>
      <c r="G158">
        <f>Table6[[#This Row],[behavioral_risk]]+Table6[[#This Row],[structural_risk]]</f>
        <v>0.8</v>
      </c>
      <c r="H158" s="5">
        <f>Table6[[#This Row],[total_risk]]/$G$202</f>
        <v>0.53333333333333333</v>
      </c>
      <c r="I158" t="str">
        <f>IF(Table6[[#This Row],[total_risk_pct]]&gt;0.8%,"YES","NO")</f>
        <v>YES</v>
      </c>
      <c r="J158">
        <f>IF(Table6[[#This Row],[loan_amount]]&gt;70000,2,1)</f>
        <v>2</v>
      </c>
      <c r="K158">
        <f>Table6[[#This Row],[total_risk]]*Table6[[#This Row],[stress_multiplier]]</f>
        <v>1.6</v>
      </c>
      <c r="L158" s="5">
        <f>Table6[[#This Row],[stressed_total_risk]]/$K$202</f>
        <v>1.0666666666666667</v>
      </c>
      <c r="M158">
        <f>Table6[[#This Row],[stressed_total_risk]]-Table6[[#This Row],[total_risk]]</f>
        <v>0.8</v>
      </c>
      <c r="N158" t="str">
        <f>_xlfn.XLOOKUP(Table6[[#This Row],[loan_id]],[1]!Loans[loan_id],[1]!Loans[loan_size_band])</f>
        <v>Large</v>
      </c>
      <c r="O158" s="4">
        <f>Table6[[#This Row],[total_paid]]/Table6[[#This Row],[total_due]]</f>
        <v>0.16943521594684383</v>
      </c>
    </row>
    <row r="159" spans="1:15" x14ac:dyDescent="0.25">
      <c r="A159" t="s">
        <v>172</v>
      </c>
      <c r="B159">
        <f>_xlfn.XLOOKUP(Table6[[#This Row],[loan_id]],[1]!Loans[loan_id],[1]!Loans[loan_amount])</f>
        <v>80000</v>
      </c>
      <c r="C159" s="4">
        <f>(Table6[[#This Row],[loan_amount]]*(1+0.02/6))</f>
        <v>80266.666666666672</v>
      </c>
      <c r="D159">
        <f>_xlfn.XLOOKUP(Table6[[#This Row],[loan_id]],[1]!Repayment[loan_id],[1]!Repayment[amount_paid])</f>
        <v>13600</v>
      </c>
      <c r="E159">
        <v>0</v>
      </c>
      <c r="F159">
        <f>_xlfn.XLOOKUP(Table6[[#This Row],[loan_id]],[1]!Loans[loan_id],[1]!Loans[structural_risk])</f>
        <v>0.8</v>
      </c>
      <c r="G159">
        <f>Table6[[#This Row],[behavioral_risk]]+Table6[[#This Row],[structural_risk]]</f>
        <v>0.8</v>
      </c>
      <c r="H159" s="5">
        <f>Table6[[#This Row],[total_risk]]/$G$202</f>
        <v>0.53333333333333333</v>
      </c>
      <c r="I159" t="str">
        <f>IF(Table6[[#This Row],[total_risk_pct]]&gt;0.8%,"YES","NO")</f>
        <v>YES</v>
      </c>
      <c r="J159">
        <f>IF(Table6[[#This Row],[loan_amount]]&gt;70000,2,1)</f>
        <v>2</v>
      </c>
      <c r="K159">
        <f>Table6[[#This Row],[total_risk]]*Table6[[#This Row],[stress_multiplier]]</f>
        <v>1.6</v>
      </c>
      <c r="L159" s="5">
        <f>Table6[[#This Row],[stressed_total_risk]]/$K$202</f>
        <v>1.0666666666666667</v>
      </c>
      <c r="M159">
        <f>Table6[[#This Row],[stressed_total_risk]]-Table6[[#This Row],[total_risk]]</f>
        <v>0.8</v>
      </c>
      <c r="N159" t="str">
        <f>_xlfn.XLOOKUP(Table6[[#This Row],[loan_id]],[1]!Loans[loan_id],[1]!Loans[loan_size_band])</f>
        <v>Large</v>
      </c>
      <c r="O159" s="4">
        <f>Table6[[#This Row],[total_paid]]/Table6[[#This Row],[total_due]]</f>
        <v>0.16943521594684385</v>
      </c>
    </row>
    <row r="160" spans="1:15" x14ac:dyDescent="0.25">
      <c r="A160" t="s">
        <v>173</v>
      </c>
      <c r="B160">
        <f>_xlfn.XLOOKUP(Table6[[#This Row],[loan_id]],[1]!Loans[loan_id],[1]!Loans[loan_amount])</f>
        <v>110000</v>
      </c>
      <c r="C160" s="4">
        <f>(Table6[[#This Row],[loan_amount]]*(1+0.02/6))</f>
        <v>110366.66666666667</v>
      </c>
      <c r="D160">
        <f>_xlfn.XLOOKUP(Table6[[#This Row],[loan_id]],[1]!Repayment[loan_id],[1]!Repayment[amount_paid])</f>
        <v>18700</v>
      </c>
      <c r="E160">
        <v>0</v>
      </c>
      <c r="F160">
        <f>_xlfn.XLOOKUP(Table6[[#This Row],[loan_id]],[1]!Loans[loan_id],[1]!Loans[structural_risk])</f>
        <v>0.8</v>
      </c>
      <c r="G160">
        <f>Table6[[#This Row],[behavioral_risk]]+Table6[[#This Row],[structural_risk]]</f>
        <v>0.8</v>
      </c>
      <c r="H160" s="5">
        <f>Table6[[#This Row],[total_risk]]/$G$202</f>
        <v>0.53333333333333333</v>
      </c>
      <c r="I160" t="str">
        <f>IF(Table6[[#This Row],[total_risk_pct]]&gt;0.8%,"YES","NO")</f>
        <v>YES</v>
      </c>
      <c r="J160">
        <f>IF(Table6[[#This Row],[loan_amount]]&gt;70000,2,1)</f>
        <v>2</v>
      </c>
      <c r="K160">
        <f>Table6[[#This Row],[total_risk]]*Table6[[#This Row],[stress_multiplier]]</f>
        <v>1.6</v>
      </c>
      <c r="L160" s="5">
        <f>Table6[[#This Row],[stressed_total_risk]]/$K$202</f>
        <v>1.0666666666666667</v>
      </c>
      <c r="M160">
        <f>Table6[[#This Row],[stressed_total_risk]]-Table6[[#This Row],[total_risk]]</f>
        <v>0.8</v>
      </c>
      <c r="N160" t="str">
        <f>_xlfn.XLOOKUP(Table6[[#This Row],[loan_id]],[1]!Loans[loan_id],[1]!Loans[loan_size_band])</f>
        <v>Large</v>
      </c>
      <c r="O160" s="4">
        <f>Table6[[#This Row],[total_paid]]/Table6[[#This Row],[total_due]]</f>
        <v>0.16943521594684385</v>
      </c>
    </row>
    <row r="161" spans="1:15" x14ac:dyDescent="0.25">
      <c r="A161" t="s">
        <v>174</v>
      </c>
      <c r="B161">
        <f>_xlfn.XLOOKUP(Table6[[#This Row],[loan_id]],[1]!Loans[loan_id],[1]!Loans[loan_amount])</f>
        <v>80000</v>
      </c>
      <c r="C161" s="4">
        <f>(Table6[[#This Row],[loan_amount]]*(1+0.02/6))</f>
        <v>80266.666666666672</v>
      </c>
      <c r="D161">
        <f>_xlfn.XLOOKUP(Table6[[#This Row],[loan_id]],[1]!Repayment[loan_id],[1]!Repayment[amount_paid])</f>
        <v>13600</v>
      </c>
      <c r="E161">
        <v>0</v>
      </c>
      <c r="F161">
        <f>_xlfn.XLOOKUP(Table6[[#This Row],[loan_id]],[1]!Loans[loan_id],[1]!Loans[structural_risk])</f>
        <v>0.8</v>
      </c>
      <c r="G161">
        <f>Table6[[#This Row],[behavioral_risk]]+Table6[[#This Row],[structural_risk]]</f>
        <v>0.8</v>
      </c>
      <c r="H161" s="5">
        <f>Table6[[#This Row],[total_risk]]/$G$202</f>
        <v>0.53333333333333333</v>
      </c>
      <c r="I161" t="str">
        <f>IF(Table6[[#This Row],[total_risk_pct]]&gt;0.8%,"YES","NO")</f>
        <v>YES</v>
      </c>
      <c r="J161">
        <f>IF(Table6[[#This Row],[loan_amount]]&gt;70000,2,1)</f>
        <v>2</v>
      </c>
      <c r="K161">
        <f>Table6[[#This Row],[total_risk]]*Table6[[#This Row],[stress_multiplier]]</f>
        <v>1.6</v>
      </c>
      <c r="L161" s="5">
        <f>Table6[[#This Row],[stressed_total_risk]]/$K$202</f>
        <v>1.0666666666666667</v>
      </c>
      <c r="M161">
        <f>Table6[[#This Row],[stressed_total_risk]]-Table6[[#This Row],[total_risk]]</f>
        <v>0.8</v>
      </c>
      <c r="N161" t="str">
        <f>_xlfn.XLOOKUP(Table6[[#This Row],[loan_id]],[1]!Loans[loan_id],[1]!Loans[loan_size_band])</f>
        <v>Large</v>
      </c>
      <c r="O161" s="4">
        <f>Table6[[#This Row],[total_paid]]/Table6[[#This Row],[total_due]]</f>
        <v>0.16943521594684385</v>
      </c>
    </row>
    <row r="162" spans="1:15" x14ac:dyDescent="0.25">
      <c r="A162" t="s">
        <v>175</v>
      </c>
      <c r="B162">
        <f>_xlfn.XLOOKUP(Table6[[#This Row],[loan_id]],[1]!Loans[loan_id],[1]!Loans[loan_amount])</f>
        <v>260000</v>
      </c>
      <c r="C162" s="4">
        <f>(Table6[[#This Row],[loan_amount]]*(1+0.02/6))</f>
        <v>260866.66666666669</v>
      </c>
      <c r="D162">
        <f>_xlfn.XLOOKUP(Table6[[#This Row],[loan_id]],[1]!Repayment[loan_id],[1]!Repayment[amount_paid])</f>
        <v>44200</v>
      </c>
      <c r="E162">
        <v>0</v>
      </c>
      <c r="F162">
        <f>_xlfn.XLOOKUP(Table6[[#This Row],[loan_id]],[1]!Loans[loan_id],[1]!Loans[structural_risk])</f>
        <v>0.8</v>
      </c>
      <c r="G162">
        <f>Table6[[#This Row],[behavioral_risk]]+Table6[[#This Row],[structural_risk]]</f>
        <v>0.8</v>
      </c>
      <c r="H162" s="5">
        <f>Table6[[#This Row],[total_risk]]/$G$202</f>
        <v>0.53333333333333333</v>
      </c>
      <c r="I162" t="str">
        <f>IF(Table6[[#This Row],[total_risk_pct]]&gt;0.8%,"YES","NO")</f>
        <v>YES</v>
      </c>
      <c r="J162">
        <f>IF(Table6[[#This Row],[loan_amount]]&gt;70000,2,1)</f>
        <v>2</v>
      </c>
      <c r="K162">
        <f>Table6[[#This Row],[total_risk]]*Table6[[#This Row],[stress_multiplier]]</f>
        <v>1.6</v>
      </c>
      <c r="L162" s="5">
        <f>Table6[[#This Row],[stressed_total_risk]]/$K$202</f>
        <v>1.0666666666666667</v>
      </c>
      <c r="M162">
        <f>Table6[[#This Row],[stressed_total_risk]]-Table6[[#This Row],[total_risk]]</f>
        <v>0.8</v>
      </c>
      <c r="N162" t="str">
        <f>_xlfn.XLOOKUP(Table6[[#This Row],[loan_id]],[1]!Loans[loan_id],[1]!Loans[loan_size_band])</f>
        <v>Large</v>
      </c>
      <c r="O162" s="4">
        <f>Table6[[#This Row],[total_paid]]/Table6[[#This Row],[total_due]]</f>
        <v>0.16943521594684385</v>
      </c>
    </row>
    <row r="163" spans="1:15" x14ac:dyDescent="0.25">
      <c r="A163" t="s">
        <v>176</v>
      </c>
      <c r="B163">
        <f>_xlfn.XLOOKUP(Table6[[#This Row],[loan_id]],[1]!Loans[loan_id],[1]!Loans[loan_amount])</f>
        <v>170000</v>
      </c>
      <c r="C163" s="4">
        <f>(Table6[[#This Row],[loan_amount]]*(1+0.02/6))</f>
        <v>170566.66666666669</v>
      </c>
      <c r="D163">
        <f>_xlfn.XLOOKUP(Table6[[#This Row],[loan_id]],[1]!Repayment[loan_id],[1]!Repayment[amount_paid])</f>
        <v>28900</v>
      </c>
      <c r="E163">
        <v>0</v>
      </c>
      <c r="F163">
        <f>_xlfn.XLOOKUP(Table6[[#This Row],[loan_id]],[1]!Loans[loan_id],[1]!Loans[structural_risk])</f>
        <v>0.8</v>
      </c>
      <c r="G163">
        <f>Table6[[#This Row],[behavioral_risk]]+Table6[[#This Row],[structural_risk]]</f>
        <v>0.8</v>
      </c>
      <c r="H163" s="5">
        <f>Table6[[#This Row],[total_risk]]/$G$202</f>
        <v>0.53333333333333333</v>
      </c>
      <c r="I163" t="str">
        <f>IF(Table6[[#This Row],[total_risk_pct]]&gt;0.8%,"YES","NO")</f>
        <v>YES</v>
      </c>
      <c r="J163">
        <f>IF(Table6[[#This Row],[loan_amount]]&gt;70000,2,1)</f>
        <v>2</v>
      </c>
      <c r="K163">
        <f>Table6[[#This Row],[total_risk]]*Table6[[#This Row],[stress_multiplier]]</f>
        <v>1.6</v>
      </c>
      <c r="L163" s="5">
        <f>Table6[[#This Row],[stressed_total_risk]]/$K$202</f>
        <v>1.0666666666666667</v>
      </c>
      <c r="M163">
        <f>Table6[[#This Row],[stressed_total_risk]]-Table6[[#This Row],[total_risk]]</f>
        <v>0.8</v>
      </c>
      <c r="N163" t="str">
        <f>_xlfn.XLOOKUP(Table6[[#This Row],[loan_id]],[1]!Loans[loan_id],[1]!Loans[loan_size_band])</f>
        <v>Large</v>
      </c>
      <c r="O163" s="4">
        <f>Table6[[#This Row],[total_paid]]/Table6[[#This Row],[total_due]]</f>
        <v>0.16943521594684383</v>
      </c>
    </row>
    <row r="164" spans="1:15" x14ac:dyDescent="0.25">
      <c r="A164" t="s">
        <v>177</v>
      </c>
      <c r="B164">
        <f>_xlfn.XLOOKUP(Table6[[#This Row],[loan_id]],[1]!Loans[loan_id],[1]!Loans[loan_amount])</f>
        <v>320000</v>
      </c>
      <c r="C164" s="4">
        <f>(Table6[[#This Row],[loan_amount]]*(1+0.02/6))</f>
        <v>321066.66666666669</v>
      </c>
      <c r="D164">
        <f>_xlfn.XLOOKUP(Table6[[#This Row],[loan_id]],[1]!Repayment[loan_id],[1]!Repayment[amount_paid])</f>
        <v>54400</v>
      </c>
      <c r="E164">
        <v>0</v>
      </c>
      <c r="F164">
        <f>_xlfn.XLOOKUP(Table6[[#This Row],[loan_id]],[1]!Loans[loan_id],[1]!Loans[structural_risk])</f>
        <v>0.8</v>
      </c>
      <c r="G164">
        <f>Table6[[#This Row],[behavioral_risk]]+Table6[[#This Row],[structural_risk]]</f>
        <v>0.8</v>
      </c>
      <c r="H164" s="5">
        <f>Table6[[#This Row],[total_risk]]/$G$202</f>
        <v>0.53333333333333333</v>
      </c>
      <c r="I164" t="str">
        <f>IF(Table6[[#This Row],[total_risk_pct]]&gt;0.8%,"YES","NO")</f>
        <v>YES</v>
      </c>
      <c r="J164">
        <f>IF(Table6[[#This Row],[loan_amount]]&gt;70000,2,1)</f>
        <v>2</v>
      </c>
      <c r="K164">
        <f>Table6[[#This Row],[total_risk]]*Table6[[#This Row],[stress_multiplier]]</f>
        <v>1.6</v>
      </c>
      <c r="L164" s="5">
        <f>Table6[[#This Row],[stressed_total_risk]]/$K$202</f>
        <v>1.0666666666666667</v>
      </c>
      <c r="M164">
        <f>Table6[[#This Row],[stressed_total_risk]]-Table6[[#This Row],[total_risk]]</f>
        <v>0.8</v>
      </c>
      <c r="N164" t="str">
        <f>_xlfn.XLOOKUP(Table6[[#This Row],[loan_id]],[1]!Loans[loan_id],[1]!Loans[loan_size_band])</f>
        <v>Large</v>
      </c>
      <c r="O164" s="4">
        <f>Table6[[#This Row],[total_paid]]/Table6[[#This Row],[total_due]]</f>
        <v>0.16943521594684385</v>
      </c>
    </row>
    <row r="165" spans="1:15" x14ac:dyDescent="0.25">
      <c r="A165" t="s">
        <v>178</v>
      </c>
      <c r="B165">
        <f>_xlfn.XLOOKUP(Table6[[#This Row],[loan_id]],[1]!Loans[loan_id],[1]!Loans[loan_amount])</f>
        <v>490000</v>
      </c>
      <c r="C165" s="4">
        <f>(Table6[[#This Row],[loan_amount]]*(1+0.02/6))</f>
        <v>491633.33333333337</v>
      </c>
      <c r="D165">
        <f>_xlfn.XLOOKUP(Table6[[#This Row],[loan_id]],[1]!Repayment[loan_id],[1]!Repayment[amount_paid])</f>
        <v>83300</v>
      </c>
      <c r="E165">
        <v>0</v>
      </c>
      <c r="F165">
        <f>_xlfn.XLOOKUP(Table6[[#This Row],[loan_id]],[1]!Loans[loan_id],[1]!Loans[structural_risk])</f>
        <v>0.8</v>
      </c>
      <c r="G165">
        <f>Table6[[#This Row],[behavioral_risk]]+Table6[[#This Row],[structural_risk]]</f>
        <v>0.8</v>
      </c>
      <c r="H165" s="5">
        <f>Table6[[#This Row],[total_risk]]/$G$202</f>
        <v>0.53333333333333333</v>
      </c>
      <c r="I165" t="str">
        <f>IF(Table6[[#This Row],[total_risk_pct]]&gt;0.8%,"YES","NO")</f>
        <v>YES</v>
      </c>
      <c r="J165">
        <f>IF(Table6[[#This Row],[loan_amount]]&gt;70000,2,1)</f>
        <v>2</v>
      </c>
      <c r="K165">
        <f>Table6[[#This Row],[total_risk]]*Table6[[#This Row],[stress_multiplier]]</f>
        <v>1.6</v>
      </c>
      <c r="L165" s="5">
        <f>Table6[[#This Row],[stressed_total_risk]]/$K$202</f>
        <v>1.0666666666666667</v>
      </c>
      <c r="M165">
        <f>Table6[[#This Row],[stressed_total_risk]]-Table6[[#This Row],[total_risk]]</f>
        <v>0.8</v>
      </c>
      <c r="N165" t="str">
        <f>_xlfn.XLOOKUP(Table6[[#This Row],[loan_id]],[1]!Loans[loan_id],[1]!Loans[loan_size_band])</f>
        <v>Large</v>
      </c>
      <c r="O165" s="4">
        <f>Table6[[#This Row],[total_paid]]/Table6[[#This Row],[total_due]]</f>
        <v>0.16943521594684385</v>
      </c>
    </row>
    <row r="166" spans="1:15" x14ac:dyDescent="0.25">
      <c r="A166" t="s">
        <v>179</v>
      </c>
      <c r="B166">
        <f>_xlfn.XLOOKUP(Table6[[#This Row],[loan_id]],[1]!Loans[loan_id],[1]!Loans[loan_amount])</f>
        <v>180000</v>
      </c>
      <c r="C166" s="4">
        <f>(Table6[[#This Row],[loan_amount]]*(1+0.02/6))</f>
        <v>180600</v>
      </c>
      <c r="D166">
        <f>_xlfn.XLOOKUP(Table6[[#This Row],[loan_id]],[1]!Repayment[loan_id],[1]!Repayment[amount_paid])</f>
        <v>30600</v>
      </c>
      <c r="E166">
        <v>0</v>
      </c>
      <c r="F166">
        <f>_xlfn.XLOOKUP(Table6[[#This Row],[loan_id]],[1]!Loans[loan_id],[1]!Loans[structural_risk])</f>
        <v>0.8</v>
      </c>
      <c r="G166">
        <f>Table6[[#This Row],[behavioral_risk]]+Table6[[#This Row],[structural_risk]]</f>
        <v>0.8</v>
      </c>
      <c r="H166" s="5">
        <f>Table6[[#This Row],[total_risk]]/$G$202</f>
        <v>0.53333333333333333</v>
      </c>
      <c r="I166" t="str">
        <f>IF(Table6[[#This Row],[total_risk_pct]]&gt;0.8%,"YES","NO")</f>
        <v>YES</v>
      </c>
      <c r="J166">
        <f>IF(Table6[[#This Row],[loan_amount]]&gt;70000,2,1)</f>
        <v>2</v>
      </c>
      <c r="K166">
        <f>Table6[[#This Row],[total_risk]]*Table6[[#This Row],[stress_multiplier]]</f>
        <v>1.6</v>
      </c>
      <c r="L166" s="5">
        <f>Table6[[#This Row],[stressed_total_risk]]/$K$202</f>
        <v>1.0666666666666667</v>
      </c>
      <c r="M166">
        <f>Table6[[#This Row],[stressed_total_risk]]-Table6[[#This Row],[total_risk]]</f>
        <v>0.8</v>
      </c>
      <c r="N166" t="str">
        <f>_xlfn.XLOOKUP(Table6[[#This Row],[loan_id]],[1]!Loans[loan_id],[1]!Loans[loan_size_band])</f>
        <v>Large</v>
      </c>
      <c r="O166" s="4">
        <f>Table6[[#This Row],[total_paid]]/Table6[[#This Row],[total_due]]</f>
        <v>0.16943521594684385</v>
      </c>
    </row>
    <row r="167" spans="1:15" x14ac:dyDescent="0.25">
      <c r="A167" t="s">
        <v>180</v>
      </c>
      <c r="B167">
        <f>_xlfn.XLOOKUP(Table6[[#This Row],[loan_id]],[1]!Loans[loan_id],[1]!Loans[loan_amount])</f>
        <v>320000</v>
      </c>
      <c r="C167" s="4">
        <f>(Table6[[#This Row],[loan_amount]]*(1+0.02/6))</f>
        <v>321066.66666666669</v>
      </c>
      <c r="D167">
        <f>_xlfn.XLOOKUP(Table6[[#This Row],[loan_id]],[1]!Repayment[loan_id],[1]!Repayment[amount_paid])</f>
        <v>54400</v>
      </c>
      <c r="E167">
        <v>0</v>
      </c>
      <c r="F167">
        <f>_xlfn.XLOOKUP(Table6[[#This Row],[loan_id]],[1]!Loans[loan_id],[1]!Loans[structural_risk])</f>
        <v>0.8</v>
      </c>
      <c r="G167">
        <f>Table6[[#This Row],[behavioral_risk]]+Table6[[#This Row],[structural_risk]]</f>
        <v>0.8</v>
      </c>
      <c r="H167" s="5">
        <f>Table6[[#This Row],[total_risk]]/$G$202</f>
        <v>0.53333333333333333</v>
      </c>
      <c r="I167" t="str">
        <f>IF(Table6[[#This Row],[total_risk_pct]]&gt;0.8%,"YES","NO")</f>
        <v>YES</v>
      </c>
      <c r="J167">
        <f>IF(Table6[[#This Row],[loan_amount]]&gt;70000,2,1)</f>
        <v>2</v>
      </c>
      <c r="K167">
        <f>Table6[[#This Row],[total_risk]]*Table6[[#This Row],[stress_multiplier]]</f>
        <v>1.6</v>
      </c>
      <c r="L167" s="5">
        <f>Table6[[#This Row],[stressed_total_risk]]/$K$202</f>
        <v>1.0666666666666667</v>
      </c>
      <c r="M167">
        <f>Table6[[#This Row],[stressed_total_risk]]-Table6[[#This Row],[total_risk]]</f>
        <v>0.8</v>
      </c>
      <c r="N167" t="str">
        <f>_xlfn.XLOOKUP(Table6[[#This Row],[loan_id]],[1]!Loans[loan_id],[1]!Loans[loan_size_band])</f>
        <v>Large</v>
      </c>
      <c r="O167" s="4">
        <f>Table6[[#This Row],[total_paid]]/Table6[[#This Row],[total_due]]</f>
        <v>0.16943521594684385</v>
      </c>
    </row>
    <row r="168" spans="1:15" x14ac:dyDescent="0.25">
      <c r="A168" t="s">
        <v>181</v>
      </c>
      <c r="B168">
        <f>_xlfn.XLOOKUP(Table6[[#This Row],[loan_id]],[1]!Loans[loan_id],[1]!Loans[loan_amount])</f>
        <v>280000</v>
      </c>
      <c r="C168" s="4">
        <f>(Table6[[#This Row],[loan_amount]]*(1+0.02/6))</f>
        <v>280933.33333333337</v>
      </c>
      <c r="D168">
        <f>_xlfn.XLOOKUP(Table6[[#This Row],[loan_id]],[1]!Repayment[loan_id],[1]!Repayment[amount_paid])</f>
        <v>47600</v>
      </c>
      <c r="E168">
        <v>0</v>
      </c>
      <c r="F168">
        <f>_xlfn.XLOOKUP(Table6[[#This Row],[loan_id]],[1]!Loans[loan_id],[1]!Loans[structural_risk])</f>
        <v>0.8</v>
      </c>
      <c r="G168">
        <f>Table6[[#This Row],[behavioral_risk]]+Table6[[#This Row],[structural_risk]]</f>
        <v>0.8</v>
      </c>
      <c r="H168" s="5">
        <f>Table6[[#This Row],[total_risk]]/$G$202</f>
        <v>0.53333333333333333</v>
      </c>
      <c r="I168" t="str">
        <f>IF(Table6[[#This Row],[total_risk_pct]]&gt;0.8%,"YES","NO")</f>
        <v>YES</v>
      </c>
      <c r="J168">
        <f>IF(Table6[[#This Row],[loan_amount]]&gt;70000,2,1)</f>
        <v>2</v>
      </c>
      <c r="K168">
        <f>Table6[[#This Row],[total_risk]]*Table6[[#This Row],[stress_multiplier]]</f>
        <v>1.6</v>
      </c>
      <c r="L168" s="5">
        <f>Table6[[#This Row],[stressed_total_risk]]/$K$202</f>
        <v>1.0666666666666667</v>
      </c>
      <c r="M168">
        <f>Table6[[#This Row],[stressed_total_risk]]-Table6[[#This Row],[total_risk]]</f>
        <v>0.8</v>
      </c>
      <c r="N168" t="str">
        <f>_xlfn.XLOOKUP(Table6[[#This Row],[loan_id]],[1]!Loans[loan_id],[1]!Loans[loan_size_band])</f>
        <v>Large</v>
      </c>
      <c r="O168" s="4">
        <f>Table6[[#This Row],[total_paid]]/Table6[[#This Row],[total_due]]</f>
        <v>0.16943521594684383</v>
      </c>
    </row>
    <row r="169" spans="1:15" x14ac:dyDescent="0.25">
      <c r="A169" t="s">
        <v>182</v>
      </c>
      <c r="B169">
        <f>_xlfn.XLOOKUP(Table6[[#This Row],[loan_id]],[1]!Loans[loan_id],[1]!Loans[loan_amount])</f>
        <v>390000</v>
      </c>
      <c r="C169" s="4">
        <f>(Table6[[#This Row],[loan_amount]]*(1+0.02/6))</f>
        <v>391300.00000000006</v>
      </c>
      <c r="D169">
        <f>_xlfn.XLOOKUP(Table6[[#This Row],[loan_id]],[1]!Repayment[loan_id],[1]!Repayment[amount_paid])</f>
        <v>66300</v>
      </c>
      <c r="E169">
        <v>0</v>
      </c>
      <c r="F169">
        <f>_xlfn.XLOOKUP(Table6[[#This Row],[loan_id]],[1]!Loans[loan_id],[1]!Loans[structural_risk])</f>
        <v>0.8</v>
      </c>
      <c r="G169">
        <f>Table6[[#This Row],[behavioral_risk]]+Table6[[#This Row],[structural_risk]]</f>
        <v>0.8</v>
      </c>
      <c r="H169" s="5">
        <f>Table6[[#This Row],[total_risk]]/$G$202</f>
        <v>0.53333333333333333</v>
      </c>
      <c r="I169" t="str">
        <f>IF(Table6[[#This Row],[total_risk_pct]]&gt;0.8%,"YES","NO")</f>
        <v>YES</v>
      </c>
      <c r="J169">
        <f>IF(Table6[[#This Row],[loan_amount]]&gt;70000,2,1)</f>
        <v>2</v>
      </c>
      <c r="K169">
        <f>Table6[[#This Row],[total_risk]]*Table6[[#This Row],[stress_multiplier]]</f>
        <v>1.6</v>
      </c>
      <c r="L169" s="5">
        <f>Table6[[#This Row],[stressed_total_risk]]/$K$202</f>
        <v>1.0666666666666667</v>
      </c>
      <c r="M169">
        <f>Table6[[#This Row],[stressed_total_risk]]-Table6[[#This Row],[total_risk]]</f>
        <v>0.8</v>
      </c>
      <c r="N169" t="str">
        <f>_xlfn.XLOOKUP(Table6[[#This Row],[loan_id]],[1]!Loans[loan_id],[1]!Loans[loan_size_band])</f>
        <v>Large</v>
      </c>
      <c r="O169" s="4">
        <f>Table6[[#This Row],[total_paid]]/Table6[[#This Row],[total_due]]</f>
        <v>0.16943521594684383</v>
      </c>
    </row>
    <row r="170" spans="1:15" x14ac:dyDescent="0.25">
      <c r="A170" t="s">
        <v>183</v>
      </c>
      <c r="B170">
        <f>_xlfn.XLOOKUP(Table6[[#This Row],[loan_id]],[1]!Loans[loan_id],[1]!Loans[loan_amount])</f>
        <v>110000</v>
      </c>
      <c r="C170" s="4">
        <f>(Table6[[#This Row],[loan_amount]]*(1+0.02/6))</f>
        <v>110366.66666666667</v>
      </c>
      <c r="D170">
        <f>_xlfn.XLOOKUP(Table6[[#This Row],[loan_id]],[1]!Repayment[loan_id],[1]!Repayment[amount_paid])</f>
        <v>18700</v>
      </c>
      <c r="E170">
        <v>0</v>
      </c>
      <c r="F170">
        <f>_xlfn.XLOOKUP(Table6[[#This Row],[loan_id]],[1]!Loans[loan_id],[1]!Loans[structural_risk])</f>
        <v>0.8</v>
      </c>
      <c r="G170">
        <f>Table6[[#This Row],[behavioral_risk]]+Table6[[#This Row],[structural_risk]]</f>
        <v>0.8</v>
      </c>
      <c r="H170" s="5">
        <f>Table6[[#This Row],[total_risk]]/$G$202</f>
        <v>0.53333333333333333</v>
      </c>
      <c r="I170" t="str">
        <f>IF(Table6[[#This Row],[total_risk_pct]]&gt;0.8%,"YES","NO")</f>
        <v>YES</v>
      </c>
      <c r="J170">
        <f>IF(Table6[[#This Row],[loan_amount]]&gt;70000,2,1)</f>
        <v>2</v>
      </c>
      <c r="K170">
        <f>Table6[[#This Row],[total_risk]]*Table6[[#This Row],[stress_multiplier]]</f>
        <v>1.6</v>
      </c>
      <c r="L170" s="5">
        <f>Table6[[#This Row],[stressed_total_risk]]/$K$202</f>
        <v>1.0666666666666667</v>
      </c>
      <c r="M170">
        <f>Table6[[#This Row],[stressed_total_risk]]-Table6[[#This Row],[total_risk]]</f>
        <v>0.8</v>
      </c>
      <c r="N170" t="str">
        <f>_xlfn.XLOOKUP(Table6[[#This Row],[loan_id]],[1]!Loans[loan_id],[1]!Loans[loan_size_band])</f>
        <v>Large</v>
      </c>
      <c r="O170" s="4">
        <f>Table6[[#This Row],[total_paid]]/Table6[[#This Row],[total_due]]</f>
        <v>0.16943521594684385</v>
      </c>
    </row>
    <row r="171" spans="1:15" x14ac:dyDescent="0.25">
      <c r="A171" t="s">
        <v>184</v>
      </c>
      <c r="B171">
        <f>_xlfn.XLOOKUP(Table6[[#This Row],[loan_id]],[1]!Loans[loan_id],[1]!Loans[loan_amount])</f>
        <v>440000</v>
      </c>
      <c r="C171" s="4">
        <f>(Table6[[#This Row],[loan_amount]]*(1+0.02/6))</f>
        <v>441466.66666666669</v>
      </c>
      <c r="D171">
        <f>_xlfn.XLOOKUP(Table6[[#This Row],[loan_id]],[1]!Repayment[loan_id],[1]!Repayment[amount_paid])</f>
        <v>74800</v>
      </c>
      <c r="E171">
        <v>0</v>
      </c>
      <c r="F171">
        <f>_xlfn.XLOOKUP(Table6[[#This Row],[loan_id]],[1]!Loans[loan_id],[1]!Loans[structural_risk])</f>
        <v>0.8</v>
      </c>
      <c r="G171">
        <f>Table6[[#This Row],[behavioral_risk]]+Table6[[#This Row],[structural_risk]]</f>
        <v>0.8</v>
      </c>
      <c r="H171" s="5">
        <f>Table6[[#This Row],[total_risk]]/$G$202</f>
        <v>0.53333333333333333</v>
      </c>
      <c r="I171" t="str">
        <f>IF(Table6[[#This Row],[total_risk_pct]]&gt;0.8%,"YES","NO")</f>
        <v>YES</v>
      </c>
      <c r="J171">
        <f>IF(Table6[[#This Row],[loan_amount]]&gt;70000,2,1)</f>
        <v>2</v>
      </c>
      <c r="K171">
        <f>Table6[[#This Row],[total_risk]]*Table6[[#This Row],[stress_multiplier]]</f>
        <v>1.6</v>
      </c>
      <c r="L171" s="5">
        <f>Table6[[#This Row],[stressed_total_risk]]/$K$202</f>
        <v>1.0666666666666667</v>
      </c>
      <c r="M171">
        <f>Table6[[#This Row],[stressed_total_risk]]-Table6[[#This Row],[total_risk]]</f>
        <v>0.8</v>
      </c>
      <c r="N171" t="str">
        <f>_xlfn.XLOOKUP(Table6[[#This Row],[loan_id]],[1]!Loans[loan_id],[1]!Loans[loan_size_band])</f>
        <v>Large</v>
      </c>
      <c r="O171" s="4">
        <f>Table6[[#This Row],[total_paid]]/Table6[[#This Row],[total_due]]</f>
        <v>0.16943521594684385</v>
      </c>
    </row>
    <row r="172" spans="1:15" x14ac:dyDescent="0.25">
      <c r="A172" t="s">
        <v>185</v>
      </c>
      <c r="B172">
        <f>_xlfn.XLOOKUP(Table6[[#This Row],[loan_id]],[1]!Loans[loan_id],[1]!Loans[loan_amount])</f>
        <v>270000</v>
      </c>
      <c r="C172" s="4">
        <f>(Table6[[#This Row],[loan_amount]]*(1+0.02/6))</f>
        <v>270900</v>
      </c>
      <c r="D172">
        <f>_xlfn.XLOOKUP(Table6[[#This Row],[loan_id]],[1]!Repayment[loan_id],[1]!Repayment[amount_paid])</f>
        <v>45900</v>
      </c>
      <c r="E172">
        <v>0</v>
      </c>
      <c r="F172">
        <f>_xlfn.XLOOKUP(Table6[[#This Row],[loan_id]],[1]!Loans[loan_id],[1]!Loans[structural_risk])</f>
        <v>0.8</v>
      </c>
      <c r="G172">
        <f>Table6[[#This Row],[behavioral_risk]]+Table6[[#This Row],[structural_risk]]</f>
        <v>0.8</v>
      </c>
      <c r="H172" s="5">
        <f>Table6[[#This Row],[total_risk]]/$G$202</f>
        <v>0.53333333333333333</v>
      </c>
      <c r="I172" t="str">
        <f>IF(Table6[[#This Row],[total_risk_pct]]&gt;0.8%,"YES","NO")</f>
        <v>YES</v>
      </c>
      <c r="J172">
        <f>IF(Table6[[#This Row],[loan_amount]]&gt;70000,2,1)</f>
        <v>2</v>
      </c>
      <c r="K172">
        <f>Table6[[#This Row],[total_risk]]*Table6[[#This Row],[stress_multiplier]]</f>
        <v>1.6</v>
      </c>
      <c r="L172" s="5">
        <f>Table6[[#This Row],[stressed_total_risk]]/$K$202</f>
        <v>1.0666666666666667</v>
      </c>
      <c r="M172">
        <f>Table6[[#This Row],[stressed_total_risk]]-Table6[[#This Row],[total_risk]]</f>
        <v>0.8</v>
      </c>
      <c r="N172" t="str">
        <f>_xlfn.XLOOKUP(Table6[[#This Row],[loan_id]],[1]!Loans[loan_id],[1]!Loans[loan_size_band])</f>
        <v>Large</v>
      </c>
      <c r="O172" s="4">
        <f>Table6[[#This Row],[total_paid]]/Table6[[#This Row],[total_due]]</f>
        <v>0.16943521594684385</v>
      </c>
    </row>
    <row r="173" spans="1:15" x14ac:dyDescent="0.25">
      <c r="A173" t="s">
        <v>186</v>
      </c>
      <c r="B173">
        <f>_xlfn.XLOOKUP(Table6[[#This Row],[loan_id]],[1]!Loans[loan_id],[1]!Loans[loan_amount])</f>
        <v>120000</v>
      </c>
      <c r="C173" s="4">
        <f>(Table6[[#This Row],[loan_amount]]*(1+0.02/6))</f>
        <v>120400.00000000001</v>
      </c>
      <c r="D173">
        <f>_xlfn.XLOOKUP(Table6[[#This Row],[loan_id]],[1]!Repayment[loan_id],[1]!Repayment[amount_paid])</f>
        <v>20400</v>
      </c>
      <c r="E173">
        <v>0</v>
      </c>
      <c r="F173">
        <f>_xlfn.XLOOKUP(Table6[[#This Row],[loan_id]],[1]!Loans[loan_id],[1]!Loans[structural_risk])</f>
        <v>0.8</v>
      </c>
      <c r="G173">
        <f>Table6[[#This Row],[behavioral_risk]]+Table6[[#This Row],[structural_risk]]</f>
        <v>0.8</v>
      </c>
      <c r="H173" s="5">
        <f>Table6[[#This Row],[total_risk]]/$G$202</f>
        <v>0.53333333333333333</v>
      </c>
      <c r="I173" t="str">
        <f>IF(Table6[[#This Row],[total_risk_pct]]&gt;0.8%,"YES","NO")</f>
        <v>YES</v>
      </c>
      <c r="J173">
        <f>IF(Table6[[#This Row],[loan_amount]]&gt;70000,2,1)</f>
        <v>2</v>
      </c>
      <c r="K173">
        <f>Table6[[#This Row],[total_risk]]*Table6[[#This Row],[stress_multiplier]]</f>
        <v>1.6</v>
      </c>
      <c r="L173" s="5">
        <f>Table6[[#This Row],[stressed_total_risk]]/$K$202</f>
        <v>1.0666666666666667</v>
      </c>
      <c r="M173">
        <f>Table6[[#This Row],[stressed_total_risk]]-Table6[[#This Row],[total_risk]]</f>
        <v>0.8</v>
      </c>
      <c r="N173" t="str">
        <f>_xlfn.XLOOKUP(Table6[[#This Row],[loan_id]],[1]!Loans[loan_id],[1]!Loans[loan_size_band])</f>
        <v>Large</v>
      </c>
      <c r="O173" s="4">
        <f>Table6[[#This Row],[total_paid]]/Table6[[#This Row],[total_due]]</f>
        <v>0.16943521594684383</v>
      </c>
    </row>
    <row r="174" spans="1:15" x14ac:dyDescent="0.25">
      <c r="A174" t="s">
        <v>187</v>
      </c>
      <c r="B174">
        <f>_xlfn.XLOOKUP(Table6[[#This Row],[loan_id]],[1]!Loans[loan_id],[1]!Loans[loan_amount])</f>
        <v>80000</v>
      </c>
      <c r="C174" s="4">
        <f>(Table6[[#This Row],[loan_amount]]*(1+0.02/6))</f>
        <v>80266.666666666672</v>
      </c>
      <c r="D174">
        <f>_xlfn.XLOOKUP(Table6[[#This Row],[loan_id]],[1]!Repayment[loan_id],[1]!Repayment[amount_paid])</f>
        <v>13600</v>
      </c>
      <c r="E174">
        <v>0</v>
      </c>
      <c r="F174">
        <f>_xlfn.XLOOKUP(Table6[[#This Row],[loan_id]],[1]!Loans[loan_id],[1]!Loans[structural_risk])</f>
        <v>0.8</v>
      </c>
      <c r="G174">
        <f>Table6[[#This Row],[behavioral_risk]]+Table6[[#This Row],[structural_risk]]</f>
        <v>0.8</v>
      </c>
      <c r="H174" s="5">
        <f>Table6[[#This Row],[total_risk]]/$G$202</f>
        <v>0.53333333333333333</v>
      </c>
      <c r="I174" t="str">
        <f>IF(Table6[[#This Row],[total_risk_pct]]&gt;0.8%,"YES","NO")</f>
        <v>YES</v>
      </c>
      <c r="J174">
        <f>IF(Table6[[#This Row],[loan_amount]]&gt;70000,2,1)</f>
        <v>2</v>
      </c>
      <c r="K174">
        <f>Table6[[#This Row],[total_risk]]*Table6[[#This Row],[stress_multiplier]]</f>
        <v>1.6</v>
      </c>
      <c r="L174" s="5">
        <f>Table6[[#This Row],[stressed_total_risk]]/$K$202</f>
        <v>1.0666666666666667</v>
      </c>
      <c r="M174">
        <f>Table6[[#This Row],[stressed_total_risk]]-Table6[[#This Row],[total_risk]]</f>
        <v>0.8</v>
      </c>
      <c r="N174" t="str">
        <f>_xlfn.XLOOKUP(Table6[[#This Row],[loan_id]],[1]!Loans[loan_id],[1]!Loans[loan_size_band])</f>
        <v>Large</v>
      </c>
      <c r="O174" s="4">
        <f>Table6[[#This Row],[total_paid]]/Table6[[#This Row],[total_due]]</f>
        <v>0.16943521594684385</v>
      </c>
    </row>
    <row r="175" spans="1:15" x14ac:dyDescent="0.25">
      <c r="A175" t="s">
        <v>188</v>
      </c>
      <c r="B175">
        <f>_xlfn.XLOOKUP(Table6[[#This Row],[loan_id]],[1]!Loans[loan_id],[1]!Loans[loan_amount])</f>
        <v>100000</v>
      </c>
      <c r="C175" s="4">
        <f>(Table6[[#This Row],[loan_amount]]*(1+0.02/6))</f>
        <v>100333.33333333334</v>
      </c>
      <c r="D175">
        <f>_xlfn.XLOOKUP(Table6[[#This Row],[loan_id]],[1]!Repayment[loan_id],[1]!Repayment[amount_paid])</f>
        <v>17000</v>
      </c>
      <c r="E175">
        <v>0</v>
      </c>
      <c r="F175">
        <f>_xlfn.XLOOKUP(Table6[[#This Row],[loan_id]],[1]!Loans[loan_id],[1]!Loans[structural_risk])</f>
        <v>0.8</v>
      </c>
      <c r="G175">
        <f>Table6[[#This Row],[behavioral_risk]]+Table6[[#This Row],[structural_risk]]</f>
        <v>0.8</v>
      </c>
      <c r="H175" s="5">
        <f>Table6[[#This Row],[total_risk]]/$G$202</f>
        <v>0.53333333333333333</v>
      </c>
      <c r="I175" t="str">
        <f>IF(Table6[[#This Row],[total_risk_pct]]&gt;0.8%,"YES","NO")</f>
        <v>YES</v>
      </c>
      <c r="J175">
        <f>IF(Table6[[#This Row],[loan_amount]]&gt;70000,2,1)</f>
        <v>2</v>
      </c>
      <c r="K175">
        <f>Table6[[#This Row],[total_risk]]*Table6[[#This Row],[stress_multiplier]]</f>
        <v>1.6</v>
      </c>
      <c r="L175" s="5">
        <f>Table6[[#This Row],[stressed_total_risk]]/$K$202</f>
        <v>1.0666666666666667</v>
      </c>
      <c r="M175">
        <f>Table6[[#This Row],[stressed_total_risk]]-Table6[[#This Row],[total_risk]]</f>
        <v>0.8</v>
      </c>
      <c r="N175" t="str">
        <f>_xlfn.XLOOKUP(Table6[[#This Row],[loan_id]],[1]!Loans[loan_id],[1]!Loans[loan_size_band])</f>
        <v>Large</v>
      </c>
      <c r="O175" s="4">
        <f>Table6[[#This Row],[total_paid]]/Table6[[#This Row],[total_due]]</f>
        <v>0.16943521594684383</v>
      </c>
    </row>
    <row r="176" spans="1:15" x14ac:dyDescent="0.25">
      <c r="B176" t="e">
        <f>_xlfn.XLOOKUP(Table6[[#This Row],[loan_id]],[1]!Loans[loan_id],[1]!Loans[loan_amount])</f>
        <v>#N/A</v>
      </c>
      <c r="C176" s="4" t="e">
        <f>(Table6[[#This Row],[loan_amount]]*(1+0.02/6))</f>
        <v>#N/A</v>
      </c>
      <c r="D176" t="e">
        <f>_xlfn.XLOOKUP(Table6[[#This Row],[loan_id]],[1]!Repayment[loan_id],[1]!Repayment[amount_paid])</f>
        <v>#N/A</v>
      </c>
      <c r="F176" t="e">
        <f>_xlfn.XLOOKUP(Table6[[#This Row],[loan_id]],[1]!Loans[loan_id],[1]!Loans[structural_risk])</f>
        <v>#N/A</v>
      </c>
      <c r="G176">
        <f>SUM(G175:G175)</f>
        <v>0.8</v>
      </c>
      <c r="H176" s="5">
        <f>Table6[[#This Row],[total_risk]]/$G$202</f>
        <v>0.53333333333333333</v>
      </c>
      <c r="I176" t="str">
        <f>IF(Table6[[#This Row],[total_risk_pct]]&gt;0.8%,"YES","NO")</f>
        <v>YES</v>
      </c>
      <c r="J176" t="e">
        <f>IF(Table6[[#This Row],[loan_amount]]&gt;70000,2,1)</f>
        <v>#N/A</v>
      </c>
      <c r="K176">
        <f>SUM(K175:K175)</f>
        <v>1.6</v>
      </c>
      <c r="L176" s="5">
        <f>Table6[[#This Row],[stressed_total_risk]]/$K$202</f>
        <v>1.0666666666666667</v>
      </c>
      <c r="M176">
        <f>Table6[[#This Row],[stressed_total_risk]]-Table6[[#This Row],[total_risk]]</f>
        <v>0.8</v>
      </c>
      <c r="N176" t="e">
        <f>_xlfn.XLOOKUP(Table6[[#This Row],[loan_id]],[1]!Loans[loan_id],[1]!Loans[loan_size_band])</f>
        <v>#N/A</v>
      </c>
      <c r="O176" s="4" t="e">
        <f>Table6[[#This Row],[total_paid]]/Table6[[#This Row],[total_due]]</f>
        <v>#N/A</v>
      </c>
    </row>
    <row r="177" spans="1:15" x14ac:dyDescent="0.25">
      <c r="A177" t="s">
        <v>189</v>
      </c>
      <c r="B177">
        <f>_xlfn.XLOOKUP(Table6[[#This Row],[loan_id]],[1]!Loans[loan_id],[1]!Loans[loan_amount])</f>
        <v>50000</v>
      </c>
      <c r="C177" s="4">
        <f>(Table6[[#This Row],[loan_amount]]*(1+0.02/6))</f>
        <v>50166.666666666672</v>
      </c>
      <c r="D177">
        <f>_xlfn.XLOOKUP(Table6[[#This Row],[loan_id]],[1]!Repayment[loan_id],[1]!Repayment[amount_paid])</f>
        <v>8500</v>
      </c>
      <c r="E177">
        <v>0</v>
      </c>
      <c r="F177">
        <f>_xlfn.XLOOKUP(Table6[[#This Row],[loan_id]],[1]!Loans[loan_id],[1]!Loans[structural_risk])</f>
        <v>0.5</v>
      </c>
      <c r="G177">
        <f>Table6[[#This Row],[behavioral_risk]]+Table6[[#This Row],[structural_risk]]</f>
        <v>0.5</v>
      </c>
      <c r="H177" s="5">
        <f>Table6[[#This Row],[total_risk]]/$G$202</f>
        <v>0.33333333333333331</v>
      </c>
      <c r="I177" t="str">
        <f>IF(Table6[[#This Row],[total_risk_pct]]&gt;0.8%,"YES","NO")</f>
        <v>YES</v>
      </c>
      <c r="J177">
        <f>IF(Table6[[#This Row],[loan_amount]]&gt;70000,2,1)</f>
        <v>1</v>
      </c>
      <c r="K177">
        <f>Table6[[#This Row],[total_risk]]*Table6[[#This Row],[stress_multiplier]]</f>
        <v>0.5</v>
      </c>
      <c r="L177" s="5">
        <f>Table6[[#This Row],[stressed_total_risk]]/$K$202</f>
        <v>0.33333333333333331</v>
      </c>
      <c r="M177">
        <f>Table6[[#This Row],[stressed_total_risk]]-Table6[[#This Row],[total_risk]]</f>
        <v>0</v>
      </c>
      <c r="N177" t="str">
        <f>_xlfn.XLOOKUP(Table6[[#This Row],[loan_id]],[1]!Loans[loan_id],[1]!Loans[loan_size_band])</f>
        <v>Medium</v>
      </c>
      <c r="O177" s="4">
        <f>Table6[[#This Row],[total_paid]]/Table6[[#This Row],[total_due]]</f>
        <v>0.16943521594684383</v>
      </c>
    </row>
    <row r="178" spans="1:15" x14ac:dyDescent="0.25">
      <c r="A178" t="s">
        <v>190</v>
      </c>
      <c r="B178">
        <f>_xlfn.XLOOKUP(Table6[[#This Row],[loan_id]],[1]!Loans[loan_id],[1]!Loans[loan_amount])</f>
        <v>20000</v>
      </c>
      <c r="C178" s="4">
        <f>(Table6[[#This Row],[loan_amount]]*(1+0.02/6))</f>
        <v>20066.666666666668</v>
      </c>
      <c r="D178">
        <f>_xlfn.XLOOKUP(Table6[[#This Row],[loan_id]],[1]!Repayment[loan_id],[1]!Repayment[amount_paid])</f>
        <v>3400</v>
      </c>
      <c r="E178">
        <v>0</v>
      </c>
      <c r="F178">
        <f>_xlfn.XLOOKUP(Table6[[#This Row],[loan_id]],[1]!Loans[loan_id],[1]!Loans[structural_risk])</f>
        <v>0.2</v>
      </c>
      <c r="G178">
        <f>Table6[[#This Row],[behavioral_risk]]+Table6[[#This Row],[structural_risk]]</f>
        <v>0.2</v>
      </c>
      <c r="H178" s="5">
        <f>Table6[[#This Row],[total_risk]]/$G$202</f>
        <v>0.13333333333333333</v>
      </c>
      <c r="I178" t="str">
        <f>IF(Table6[[#This Row],[total_risk_pct]]&gt;0.8%,"YES","NO")</f>
        <v>YES</v>
      </c>
      <c r="J178">
        <f>IF(Table6[[#This Row],[loan_amount]]&gt;70000,2,1)</f>
        <v>1</v>
      </c>
      <c r="K178">
        <f>Table6[[#This Row],[total_risk]]*Table6[[#This Row],[stress_multiplier]]</f>
        <v>0.2</v>
      </c>
      <c r="L178" s="5">
        <f>Table6[[#This Row],[stressed_total_risk]]/$K$202</f>
        <v>0.13333333333333333</v>
      </c>
      <c r="M178">
        <f>Table6[[#This Row],[stressed_total_risk]]-Table6[[#This Row],[total_risk]]</f>
        <v>0</v>
      </c>
      <c r="N178" t="str">
        <f>_xlfn.XLOOKUP(Table6[[#This Row],[loan_id]],[1]!Loans[loan_id],[1]!Loans[loan_size_band])</f>
        <v>Small</v>
      </c>
      <c r="O178" s="4">
        <f>Table6[[#This Row],[total_paid]]/Table6[[#This Row],[total_due]]</f>
        <v>0.16943521594684385</v>
      </c>
    </row>
    <row r="179" spans="1:15" x14ac:dyDescent="0.25">
      <c r="A179" t="s">
        <v>191</v>
      </c>
      <c r="B179">
        <f>_xlfn.XLOOKUP(Table6[[#This Row],[loan_id]],[1]!Loans[loan_id],[1]!Loans[loan_amount])</f>
        <v>70000</v>
      </c>
      <c r="C179" s="4">
        <f>(Table6[[#This Row],[loan_amount]]*(1+0.02/6))</f>
        <v>70233.333333333343</v>
      </c>
      <c r="D179">
        <f>_xlfn.XLOOKUP(Table6[[#This Row],[loan_id]],[1]!Repayment[loan_id],[1]!Repayment[amount_paid])</f>
        <v>11900</v>
      </c>
      <c r="E179">
        <v>0</v>
      </c>
      <c r="F179">
        <f>_xlfn.XLOOKUP(Table6[[#This Row],[loan_id]],[1]!Loans[loan_id],[1]!Loans[structural_risk])</f>
        <v>0.8</v>
      </c>
      <c r="G179">
        <f>Table6[[#This Row],[behavioral_risk]]+Table6[[#This Row],[structural_risk]]</f>
        <v>0.8</v>
      </c>
      <c r="H179" s="5">
        <f>Table6[[#This Row],[total_risk]]/$G$202</f>
        <v>0.53333333333333333</v>
      </c>
      <c r="I179" t="str">
        <f>IF(Table6[[#This Row],[total_risk_pct]]&gt;0.8%,"YES","NO")</f>
        <v>YES</v>
      </c>
      <c r="J179">
        <f>IF(Table6[[#This Row],[loan_amount]]&gt;70000,2,1)</f>
        <v>1</v>
      </c>
      <c r="K179">
        <f>Table6[[#This Row],[total_risk]]*Table6[[#This Row],[stress_multiplier]]</f>
        <v>0.8</v>
      </c>
      <c r="L179" s="5">
        <f>Table6[[#This Row],[stressed_total_risk]]/$K$202</f>
        <v>0.53333333333333333</v>
      </c>
      <c r="M179">
        <f>Table6[[#This Row],[stressed_total_risk]]-Table6[[#This Row],[total_risk]]</f>
        <v>0</v>
      </c>
      <c r="N179" t="str">
        <f>_xlfn.XLOOKUP(Table6[[#This Row],[loan_id]],[1]!Loans[loan_id],[1]!Loans[loan_size_band])</f>
        <v>Large</v>
      </c>
      <c r="O179" s="4">
        <f>Table6[[#This Row],[total_paid]]/Table6[[#This Row],[total_due]]</f>
        <v>0.16943521594684383</v>
      </c>
    </row>
    <row r="180" spans="1:15" x14ac:dyDescent="0.25">
      <c r="A180" t="s">
        <v>192</v>
      </c>
      <c r="B180">
        <f>_xlfn.XLOOKUP(Table6[[#This Row],[loan_id]],[1]!Loans[loan_id],[1]!Loans[loan_amount])</f>
        <v>60000</v>
      </c>
      <c r="C180" s="4">
        <f>(Table6[[#This Row],[loan_amount]]*(1+0.02/6))</f>
        <v>60200.000000000007</v>
      </c>
      <c r="D180">
        <f>_xlfn.XLOOKUP(Table6[[#This Row],[loan_id]],[1]!Repayment[loan_id],[1]!Repayment[amount_paid])</f>
        <v>10200</v>
      </c>
      <c r="E180">
        <v>0</v>
      </c>
      <c r="F180">
        <f>_xlfn.XLOOKUP(Table6[[#This Row],[loan_id]],[1]!Loans[loan_id],[1]!Loans[structural_risk])</f>
        <v>0.5</v>
      </c>
      <c r="G180">
        <f>Table6[[#This Row],[behavioral_risk]]+Table6[[#This Row],[structural_risk]]</f>
        <v>0.5</v>
      </c>
      <c r="H180" s="5">
        <f>Table6[[#This Row],[total_risk]]/$G$202</f>
        <v>0.33333333333333331</v>
      </c>
      <c r="I180" t="str">
        <f>IF(Table6[[#This Row],[total_risk_pct]]&gt;0.8%,"YES","NO")</f>
        <v>YES</v>
      </c>
      <c r="J180">
        <f>IF(Table6[[#This Row],[loan_amount]]&gt;70000,2,1)</f>
        <v>1</v>
      </c>
      <c r="K180">
        <f>Table6[[#This Row],[total_risk]]*Table6[[#This Row],[stress_multiplier]]</f>
        <v>0.5</v>
      </c>
      <c r="L180" s="5">
        <f>Table6[[#This Row],[stressed_total_risk]]/$K$202</f>
        <v>0.33333333333333331</v>
      </c>
      <c r="M180">
        <f>Table6[[#This Row],[stressed_total_risk]]-Table6[[#This Row],[total_risk]]</f>
        <v>0</v>
      </c>
      <c r="N180" t="str">
        <f>_xlfn.XLOOKUP(Table6[[#This Row],[loan_id]],[1]!Loans[loan_id],[1]!Loans[loan_size_band])</f>
        <v>Medium</v>
      </c>
      <c r="O180" s="4">
        <f>Table6[[#This Row],[total_paid]]/Table6[[#This Row],[total_due]]</f>
        <v>0.16943521594684383</v>
      </c>
    </row>
    <row r="181" spans="1:15" x14ac:dyDescent="0.25">
      <c r="A181" t="s">
        <v>193</v>
      </c>
      <c r="B181">
        <f>_xlfn.XLOOKUP(Table6[[#This Row],[loan_id]],[1]!Loans[loan_id],[1]!Loans[loan_amount])</f>
        <v>40000</v>
      </c>
      <c r="C181" s="4">
        <f>(Table6[[#This Row],[loan_amount]]*(1+0.02/6))</f>
        <v>40133.333333333336</v>
      </c>
      <c r="D181">
        <f>_xlfn.XLOOKUP(Table6[[#This Row],[loan_id]],[1]!Repayment[loan_id],[1]!Repayment[amount_paid])</f>
        <v>6800</v>
      </c>
      <c r="E181">
        <v>0</v>
      </c>
      <c r="F181">
        <f>_xlfn.XLOOKUP(Table6[[#This Row],[loan_id]],[1]!Loans[loan_id],[1]!Loans[structural_risk])</f>
        <v>0.5</v>
      </c>
      <c r="G181">
        <f>Table6[[#This Row],[behavioral_risk]]+Table6[[#This Row],[structural_risk]]</f>
        <v>0.5</v>
      </c>
      <c r="H181" s="5">
        <f>Table6[[#This Row],[total_risk]]/$G$202</f>
        <v>0.33333333333333331</v>
      </c>
      <c r="I181" t="str">
        <f>IF(Table6[[#This Row],[total_risk_pct]]&gt;0.8%,"YES","NO")</f>
        <v>YES</v>
      </c>
      <c r="J181">
        <f>IF(Table6[[#This Row],[loan_amount]]&gt;70000,2,1)</f>
        <v>1</v>
      </c>
      <c r="K181">
        <f>Table6[[#This Row],[total_risk]]*Table6[[#This Row],[stress_multiplier]]</f>
        <v>0.5</v>
      </c>
      <c r="L181" s="5">
        <f>Table6[[#This Row],[stressed_total_risk]]/$K$202</f>
        <v>0.33333333333333331</v>
      </c>
      <c r="M181">
        <f>Table6[[#This Row],[stressed_total_risk]]-Table6[[#This Row],[total_risk]]</f>
        <v>0</v>
      </c>
      <c r="N181" t="str">
        <f>_xlfn.XLOOKUP(Table6[[#This Row],[loan_id]],[1]!Loans[loan_id],[1]!Loans[loan_size_band])</f>
        <v>Medium</v>
      </c>
      <c r="O181" s="4">
        <f>Table6[[#This Row],[total_paid]]/Table6[[#This Row],[total_due]]</f>
        <v>0.16943521594684385</v>
      </c>
    </row>
    <row r="182" spans="1:15" x14ac:dyDescent="0.25">
      <c r="A182" t="s">
        <v>194</v>
      </c>
      <c r="B182">
        <f>_xlfn.XLOOKUP(Table6[[#This Row],[loan_id]],[1]!Loans[loan_id],[1]!Loans[loan_amount])</f>
        <v>70000</v>
      </c>
      <c r="C182" s="4">
        <f>(Table6[[#This Row],[loan_amount]]*(1+0.02/6))</f>
        <v>70233.333333333343</v>
      </c>
      <c r="D182">
        <f>_xlfn.XLOOKUP(Table6[[#This Row],[loan_id]],[1]!Repayment[loan_id],[1]!Repayment[amount_paid])</f>
        <v>11900</v>
      </c>
      <c r="E182">
        <v>0</v>
      </c>
      <c r="F182">
        <f>_xlfn.XLOOKUP(Table6[[#This Row],[loan_id]],[1]!Loans[loan_id],[1]!Loans[structural_risk])</f>
        <v>0.8</v>
      </c>
      <c r="G182">
        <f>Table6[[#This Row],[behavioral_risk]]+Table6[[#This Row],[structural_risk]]</f>
        <v>0.8</v>
      </c>
      <c r="H182" s="5">
        <f>Table6[[#This Row],[total_risk]]/$G$202</f>
        <v>0.53333333333333333</v>
      </c>
      <c r="I182" t="str">
        <f>IF(Table6[[#This Row],[total_risk_pct]]&gt;0.8%,"YES","NO")</f>
        <v>YES</v>
      </c>
      <c r="J182">
        <f>IF(Table6[[#This Row],[loan_amount]]&gt;70000,2,1)</f>
        <v>1</v>
      </c>
      <c r="K182">
        <f>Table6[[#This Row],[total_risk]]*Table6[[#This Row],[stress_multiplier]]</f>
        <v>0.8</v>
      </c>
      <c r="L182" s="5">
        <f>Table6[[#This Row],[stressed_total_risk]]/$K$202</f>
        <v>0.53333333333333333</v>
      </c>
      <c r="M182">
        <f>Table6[[#This Row],[stressed_total_risk]]-Table6[[#This Row],[total_risk]]</f>
        <v>0</v>
      </c>
      <c r="N182" t="str">
        <f>_xlfn.XLOOKUP(Table6[[#This Row],[loan_id]],[1]!Loans[loan_id],[1]!Loans[loan_size_band])</f>
        <v>Large</v>
      </c>
      <c r="O182" s="4">
        <f>Table6[[#This Row],[total_paid]]/Table6[[#This Row],[total_due]]</f>
        <v>0.16943521594684383</v>
      </c>
    </row>
    <row r="183" spans="1:15" x14ac:dyDescent="0.25">
      <c r="A183" t="s">
        <v>195</v>
      </c>
      <c r="B183">
        <f>_xlfn.XLOOKUP(Table6[[#This Row],[loan_id]],[1]!Loans[loan_id],[1]!Loans[loan_amount])</f>
        <v>60000</v>
      </c>
      <c r="C183" s="4">
        <f>(Table6[[#This Row],[loan_amount]]*(1+0.02/6))</f>
        <v>60200.000000000007</v>
      </c>
      <c r="D183">
        <f>_xlfn.XLOOKUP(Table6[[#This Row],[loan_id]],[1]!Repayment[loan_id],[1]!Repayment[amount_paid])</f>
        <v>10200</v>
      </c>
      <c r="E183">
        <v>0</v>
      </c>
      <c r="F183">
        <f>_xlfn.XLOOKUP(Table6[[#This Row],[loan_id]],[1]!Loans[loan_id],[1]!Loans[structural_risk])</f>
        <v>0.5</v>
      </c>
      <c r="G183">
        <f>Table6[[#This Row],[behavioral_risk]]+Table6[[#This Row],[structural_risk]]</f>
        <v>0.5</v>
      </c>
      <c r="H183" s="5">
        <f>Table6[[#This Row],[total_risk]]/$G$202</f>
        <v>0.33333333333333331</v>
      </c>
      <c r="I183" t="str">
        <f>IF(Table6[[#This Row],[total_risk_pct]]&gt;0.8%,"YES","NO")</f>
        <v>YES</v>
      </c>
      <c r="J183">
        <f>IF(Table6[[#This Row],[loan_amount]]&gt;70000,2,1)</f>
        <v>1</v>
      </c>
      <c r="K183">
        <f>Table6[[#This Row],[total_risk]]*Table6[[#This Row],[stress_multiplier]]</f>
        <v>0.5</v>
      </c>
      <c r="L183" s="5">
        <f>Table6[[#This Row],[stressed_total_risk]]/$K$202</f>
        <v>0.33333333333333331</v>
      </c>
      <c r="M183">
        <f>Table6[[#This Row],[stressed_total_risk]]-Table6[[#This Row],[total_risk]]</f>
        <v>0</v>
      </c>
      <c r="N183" t="str">
        <f>_xlfn.XLOOKUP(Table6[[#This Row],[loan_id]],[1]!Loans[loan_id],[1]!Loans[loan_size_band])</f>
        <v>Medium</v>
      </c>
      <c r="O183" s="4">
        <f>Table6[[#This Row],[total_paid]]/Table6[[#This Row],[total_due]]</f>
        <v>0.16943521594684383</v>
      </c>
    </row>
    <row r="184" spans="1:15" x14ac:dyDescent="0.25">
      <c r="A184" t="s">
        <v>196</v>
      </c>
      <c r="B184">
        <f>_xlfn.XLOOKUP(Table6[[#This Row],[loan_id]],[1]!Loans[loan_id],[1]!Loans[loan_amount])</f>
        <v>60000</v>
      </c>
      <c r="C184" s="4">
        <f>(Table6[[#This Row],[loan_amount]]*(1+0.02/6))</f>
        <v>60200.000000000007</v>
      </c>
      <c r="D184">
        <f>_xlfn.XLOOKUP(Table6[[#This Row],[loan_id]],[1]!Repayment[loan_id],[1]!Repayment[amount_paid])</f>
        <v>10200</v>
      </c>
      <c r="E184">
        <v>0</v>
      </c>
      <c r="F184">
        <f>_xlfn.XLOOKUP(Table6[[#This Row],[loan_id]],[1]!Loans[loan_id],[1]!Loans[structural_risk])</f>
        <v>0.5</v>
      </c>
      <c r="G184">
        <f>Table6[[#This Row],[behavioral_risk]]+Table6[[#This Row],[structural_risk]]</f>
        <v>0.5</v>
      </c>
      <c r="H184" s="5">
        <f>Table6[[#This Row],[total_risk]]/$G$202</f>
        <v>0.33333333333333331</v>
      </c>
      <c r="I184" t="str">
        <f>IF(Table6[[#This Row],[total_risk_pct]]&gt;0.8%,"YES","NO")</f>
        <v>YES</v>
      </c>
      <c r="J184">
        <f>IF(Table6[[#This Row],[loan_amount]]&gt;70000,2,1)</f>
        <v>1</v>
      </c>
      <c r="K184">
        <f>Table6[[#This Row],[total_risk]]*Table6[[#This Row],[stress_multiplier]]</f>
        <v>0.5</v>
      </c>
      <c r="L184" s="5">
        <f>Table6[[#This Row],[stressed_total_risk]]/$K$202</f>
        <v>0.33333333333333331</v>
      </c>
      <c r="M184">
        <f>Table6[[#This Row],[stressed_total_risk]]-Table6[[#This Row],[total_risk]]</f>
        <v>0</v>
      </c>
      <c r="N184" t="str">
        <f>_xlfn.XLOOKUP(Table6[[#This Row],[loan_id]],[1]!Loans[loan_id],[1]!Loans[loan_size_band])</f>
        <v>Medium</v>
      </c>
      <c r="O184" s="4">
        <f>Table6[[#This Row],[total_paid]]/Table6[[#This Row],[total_due]]</f>
        <v>0.16943521594684383</v>
      </c>
    </row>
    <row r="185" spans="1:15" x14ac:dyDescent="0.25">
      <c r="A185" t="s">
        <v>197</v>
      </c>
      <c r="B185">
        <f>_xlfn.XLOOKUP(Table6[[#This Row],[loan_id]],[1]!Loans[loan_id],[1]!Loans[loan_amount])</f>
        <v>40000</v>
      </c>
      <c r="C185" s="4">
        <f>(Table6[[#This Row],[loan_amount]]*(1+0.02/6))</f>
        <v>40133.333333333336</v>
      </c>
      <c r="D185">
        <f>_xlfn.XLOOKUP(Table6[[#This Row],[loan_id]],[1]!Repayment[loan_id],[1]!Repayment[amount_paid])</f>
        <v>6800</v>
      </c>
      <c r="E185">
        <v>0</v>
      </c>
      <c r="F185">
        <f>_xlfn.XLOOKUP(Table6[[#This Row],[loan_id]],[1]!Loans[loan_id],[1]!Loans[structural_risk])</f>
        <v>0.5</v>
      </c>
      <c r="G185">
        <f>Table6[[#This Row],[behavioral_risk]]+Table6[[#This Row],[structural_risk]]</f>
        <v>0.5</v>
      </c>
      <c r="H185" s="5">
        <f>Table6[[#This Row],[total_risk]]/$G$202</f>
        <v>0.33333333333333331</v>
      </c>
      <c r="I185" t="str">
        <f>IF(Table6[[#This Row],[total_risk_pct]]&gt;0.8%,"YES","NO")</f>
        <v>YES</v>
      </c>
      <c r="J185">
        <f>IF(Table6[[#This Row],[loan_amount]]&gt;70000,2,1)</f>
        <v>1</v>
      </c>
      <c r="K185">
        <f>Table6[[#This Row],[total_risk]]*Table6[[#This Row],[stress_multiplier]]</f>
        <v>0.5</v>
      </c>
      <c r="L185" s="5">
        <f>Table6[[#This Row],[stressed_total_risk]]/$K$202</f>
        <v>0.33333333333333331</v>
      </c>
      <c r="M185">
        <f>Table6[[#This Row],[stressed_total_risk]]-Table6[[#This Row],[total_risk]]</f>
        <v>0</v>
      </c>
      <c r="N185" t="str">
        <f>_xlfn.XLOOKUP(Table6[[#This Row],[loan_id]],[1]!Loans[loan_id],[1]!Loans[loan_size_band])</f>
        <v>Medium</v>
      </c>
      <c r="O185" s="4">
        <f>Table6[[#This Row],[total_paid]]/Table6[[#This Row],[total_due]]</f>
        <v>0.16943521594684385</v>
      </c>
    </row>
    <row r="186" spans="1:15" x14ac:dyDescent="0.25">
      <c r="A186" t="s">
        <v>198</v>
      </c>
      <c r="B186">
        <f>_xlfn.XLOOKUP(Table6[[#This Row],[loan_id]],[1]!Loans[loan_id],[1]!Loans[loan_amount])</f>
        <v>70000</v>
      </c>
      <c r="C186" s="4">
        <f>(Table6[[#This Row],[loan_amount]]*(1+0.02/6))</f>
        <v>70233.333333333343</v>
      </c>
      <c r="D186">
        <f>_xlfn.XLOOKUP(Table6[[#This Row],[loan_id]],[1]!Repayment[loan_id],[1]!Repayment[amount_paid])</f>
        <v>11900</v>
      </c>
      <c r="E186">
        <v>0</v>
      </c>
      <c r="F186">
        <f>_xlfn.XLOOKUP(Table6[[#This Row],[loan_id]],[1]!Loans[loan_id],[1]!Loans[structural_risk])</f>
        <v>0.8</v>
      </c>
      <c r="G186">
        <f>Table6[[#This Row],[behavioral_risk]]+Table6[[#This Row],[structural_risk]]</f>
        <v>0.8</v>
      </c>
      <c r="H186" s="5">
        <f>Table6[[#This Row],[total_risk]]/$G$202</f>
        <v>0.53333333333333333</v>
      </c>
      <c r="I186" t="str">
        <f>IF(Table6[[#This Row],[total_risk_pct]]&gt;0.8%,"YES","NO")</f>
        <v>YES</v>
      </c>
      <c r="J186">
        <f>IF(Table6[[#This Row],[loan_amount]]&gt;70000,2,1)</f>
        <v>1</v>
      </c>
      <c r="K186">
        <f>Table6[[#This Row],[total_risk]]*Table6[[#This Row],[stress_multiplier]]</f>
        <v>0.8</v>
      </c>
      <c r="L186" s="5">
        <f>Table6[[#This Row],[stressed_total_risk]]/$K$202</f>
        <v>0.53333333333333333</v>
      </c>
      <c r="M186">
        <f>Table6[[#This Row],[stressed_total_risk]]-Table6[[#This Row],[total_risk]]</f>
        <v>0</v>
      </c>
      <c r="N186" t="str">
        <f>_xlfn.XLOOKUP(Table6[[#This Row],[loan_id]],[1]!Loans[loan_id],[1]!Loans[loan_size_band])</f>
        <v>Large</v>
      </c>
      <c r="O186" s="4">
        <f>Table6[[#This Row],[total_paid]]/Table6[[#This Row],[total_due]]</f>
        <v>0.16943521594684383</v>
      </c>
    </row>
    <row r="187" spans="1:15" x14ac:dyDescent="0.25">
      <c r="A187" t="s">
        <v>199</v>
      </c>
      <c r="B187">
        <f>_xlfn.XLOOKUP(Table6[[#This Row],[loan_id]],[1]!Loans[loan_id],[1]!Loans[loan_amount])</f>
        <v>50000</v>
      </c>
      <c r="C187" s="4">
        <f>(Table6[[#This Row],[loan_amount]]*(1+0.02/6))</f>
        <v>50166.666666666672</v>
      </c>
      <c r="D187">
        <f>_xlfn.XLOOKUP(Table6[[#This Row],[loan_id]],[1]!Repayment[loan_id],[1]!Repayment[amount_paid])</f>
        <v>8500</v>
      </c>
      <c r="E187">
        <v>0</v>
      </c>
      <c r="F187">
        <f>_xlfn.XLOOKUP(Table6[[#This Row],[loan_id]],[1]!Loans[loan_id],[1]!Loans[structural_risk])</f>
        <v>0.5</v>
      </c>
      <c r="G187">
        <f>Table6[[#This Row],[behavioral_risk]]+Table6[[#This Row],[structural_risk]]</f>
        <v>0.5</v>
      </c>
      <c r="H187" s="5">
        <f>Table6[[#This Row],[total_risk]]/$G$202</f>
        <v>0.33333333333333331</v>
      </c>
      <c r="I187" t="str">
        <f>IF(Table6[[#This Row],[total_risk_pct]]&gt;0.8%,"YES","NO")</f>
        <v>YES</v>
      </c>
      <c r="J187">
        <f>IF(Table6[[#This Row],[loan_amount]]&gt;70000,2,1)</f>
        <v>1</v>
      </c>
      <c r="K187">
        <f>Table6[[#This Row],[total_risk]]*Table6[[#This Row],[stress_multiplier]]</f>
        <v>0.5</v>
      </c>
      <c r="L187" s="5">
        <f>Table6[[#This Row],[stressed_total_risk]]/$K$202</f>
        <v>0.33333333333333331</v>
      </c>
      <c r="M187">
        <f>Table6[[#This Row],[stressed_total_risk]]-Table6[[#This Row],[total_risk]]</f>
        <v>0</v>
      </c>
      <c r="N187" t="str">
        <f>_xlfn.XLOOKUP(Table6[[#This Row],[loan_id]],[1]!Loans[loan_id],[1]!Loans[loan_size_band])</f>
        <v>Medium</v>
      </c>
      <c r="O187" s="4">
        <f>Table6[[#This Row],[total_paid]]/Table6[[#This Row],[total_due]]</f>
        <v>0.16943521594684383</v>
      </c>
    </row>
    <row r="188" spans="1:15" x14ac:dyDescent="0.25">
      <c r="A188" t="s">
        <v>200</v>
      </c>
      <c r="B188">
        <f>_xlfn.XLOOKUP(Table6[[#This Row],[loan_id]],[1]!Loans[loan_id],[1]!Loans[loan_amount])</f>
        <v>50000</v>
      </c>
      <c r="C188" s="4">
        <f>(Table6[[#This Row],[loan_amount]]*(1+0.02/6))</f>
        <v>50166.666666666672</v>
      </c>
      <c r="D188">
        <f>_xlfn.XLOOKUP(Table6[[#This Row],[loan_id]],[1]!Repayment[loan_id],[1]!Repayment[amount_paid])</f>
        <v>8500</v>
      </c>
      <c r="E188">
        <v>0</v>
      </c>
      <c r="F188">
        <f>_xlfn.XLOOKUP(Table6[[#This Row],[loan_id]],[1]!Loans[loan_id],[1]!Loans[structural_risk])</f>
        <v>0.5</v>
      </c>
      <c r="G188">
        <f>Table6[[#This Row],[behavioral_risk]]+Table6[[#This Row],[structural_risk]]</f>
        <v>0.5</v>
      </c>
      <c r="H188" s="5">
        <f>Table6[[#This Row],[total_risk]]/$G$202</f>
        <v>0.33333333333333331</v>
      </c>
      <c r="I188" t="str">
        <f>IF(Table6[[#This Row],[total_risk_pct]]&gt;0.8%,"YES","NO")</f>
        <v>YES</v>
      </c>
      <c r="J188">
        <f>IF(Table6[[#This Row],[loan_amount]]&gt;70000,2,1)</f>
        <v>1</v>
      </c>
      <c r="K188">
        <f>Table6[[#This Row],[total_risk]]*Table6[[#This Row],[stress_multiplier]]</f>
        <v>0.5</v>
      </c>
      <c r="L188" s="5">
        <f>Table6[[#This Row],[stressed_total_risk]]/$K$202</f>
        <v>0.33333333333333331</v>
      </c>
      <c r="M188">
        <f>Table6[[#This Row],[stressed_total_risk]]-Table6[[#This Row],[total_risk]]</f>
        <v>0</v>
      </c>
      <c r="N188" t="str">
        <f>_xlfn.XLOOKUP(Table6[[#This Row],[loan_id]],[1]!Loans[loan_id],[1]!Loans[loan_size_band])</f>
        <v>Medium</v>
      </c>
      <c r="O188" s="4">
        <f>Table6[[#This Row],[total_paid]]/Table6[[#This Row],[total_due]]</f>
        <v>0.16943521594684383</v>
      </c>
    </row>
    <row r="189" spans="1:15" x14ac:dyDescent="0.25">
      <c r="A189" t="s">
        <v>201</v>
      </c>
      <c r="B189">
        <f>_xlfn.XLOOKUP(Table6[[#This Row],[loan_id]],[1]!Loans[loan_id],[1]!Loans[loan_amount])</f>
        <v>70000</v>
      </c>
      <c r="C189" s="4">
        <f>(Table6[[#This Row],[loan_amount]]*(1+0.02/6))</f>
        <v>70233.333333333343</v>
      </c>
      <c r="D189">
        <f>_xlfn.XLOOKUP(Table6[[#This Row],[loan_id]],[1]!Repayment[loan_id],[1]!Repayment[amount_paid])</f>
        <v>11900</v>
      </c>
      <c r="E189">
        <v>0</v>
      </c>
      <c r="F189">
        <f>_xlfn.XLOOKUP(Table6[[#This Row],[loan_id]],[1]!Loans[loan_id],[1]!Loans[structural_risk])</f>
        <v>0.8</v>
      </c>
      <c r="G189">
        <f>Table6[[#This Row],[behavioral_risk]]+Table6[[#This Row],[structural_risk]]</f>
        <v>0.8</v>
      </c>
      <c r="H189" s="5">
        <f>Table6[[#This Row],[total_risk]]/$G$202</f>
        <v>0.53333333333333333</v>
      </c>
      <c r="I189" t="str">
        <f>IF(Table6[[#This Row],[total_risk_pct]]&gt;0.8%,"YES","NO")</f>
        <v>YES</v>
      </c>
      <c r="J189">
        <f>IF(Table6[[#This Row],[loan_amount]]&gt;70000,2,1)</f>
        <v>1</v>
      </c>
      <c r="K189">
        <f>Table6[[#This Row],[total_risk]]*Table6[[#This Row],[stress_multiplier]]</f>
        <v>0.8</v>
      </c>
      <c r="L189" s="5">
        <f>Table6[[#This Row],[stressed_total_risk]]/$K$202</f>
        <v>0.53333333333333333</v>
      </c>
      <c r="M189">
        <f>Table6[[#This Row],[stressed_total_risk]]-Table6[[#This Row],[total_risk]]</f>
        <v>0</v>
      </c>
      <c r="N189" t="str">
        <f>_xlfn.XLOOKUP(Table6[[#This Row],[loan_id]],[1]!Loans[loan_id],[1]!Loans[loan_size_band])</f>
        <v>Large</v>
      </c>
      <c r="O189" s="4">
        <f>Table6[[#This Row],[total_paid]]/Table6[[#This Row],[total_due]]</f>
        <v>0.16943521594684383</v>
      </c>
    </row>
    <row r="190" spans="1:15" x14ac:dyDescent="0.25">
      <c r="A190" t="s">
        <v>202</v>
      </c>
      <c r="B190">
        <f>_xlfn.XLOOKUP(Table6[[#This Row],[loan_id]],[1]!Loans[loan_id],[1]!Loans[loan_amount])</f>
        <v>70000</v>
      </c>
      <c r="C190" s="4">
        <f>(Table6[[#This Row],[loan_amount]]*(1+0.02/6))</f>
        <v>70233.333333333343</v>
      </c>
      <c r="D190">
        <f>_xlfn.XLOOKUP(Table6[[#This Row],[loan_id]],[1]!Repayment[loan_id],[1]!Repayment[amount_paid])</f>
        <v>11900</v>
      </c>
      <c r="E190">
        <v>0</v>
      </c>
      <c r="F190">
        <f>_xlfn.XLOOKUP(Table6[[#This Row],[loan_id]],[1]!Loans[loan_id],[1]!Loans[structural_risk])</f>
        <v>0.8</v>
      </c>
      <c r="G190">
        <f>Table6[[#This Row],[behavioral_risk]]+Table6[[#This Row],[structural_risk]]</f>
        <v>0.8</v>
      </c>
      <c r="H190" s="5">
        <f>Table6[[#This Row],[total_risk]]/$G$202</f>
        <v>0.53333333333333333</v>
      </c>
      <c r="I190" t="str">
        <f>IF(Table6[[#This Row],[total_risk_pct]]&gt;0.8%,"YES","NO")</f>
        <v>YES</v>
      </c>
      <c r="J190">
        <f>IF(Table6[[#This Row],[loan_amount]]&gt;70000,2,1)</f>
        <v>1</v>
      </c>
      <c r="K190">
        <f>Table6[[#This Row],[total_risk]]*Table6[[#This Row],[stress_multiplier]]</f>
        <v>0.8</v>
      </c>
      <c r="L190" s="5">
        <f>Table6[[#This Row],[stressed_total_risk]]/$K$202</f>
        <v>0.53333333333333333</v>
      </c>
      <c r="M190">
        <f>Table6[[#This Row],[stressed_total_risk]]-Table6[[#This Row],[total_risk]]</f>
        <v>0</v>
      </c>
      <c r="N190" t="str">
        <f>_xlfn.XLOOKUP(Table6[[#This Row],[loan_id]],[1]!Loans[loan_id],[1]!Loans[loan_size_band])</f>
        <v>Large</v>
      </c>
      <c r="O190" s="4">
        <f>Table6[[#This Row],[total_paid]]/Table6[[#This Row],[total_due]]</f>
        <v>0.16943521594684383</v>
      </c>
    </row>
    <row r="191" spans="1:15" x14ac:dyDescent="0.25">
      <c r="A191" t="s">
        <v>203</v>
      </c>
      <c r="B191">
        <f>_xlfn.XLOOKUP(Table6[[#This Row],[loan_id]],[1]!Loans[loan_id],[1]!Loans[loan_amount])</f>
        <v>70000</v>
      </c>
      <c r="C191" s="4">
        <f>(Table6[[#This Row],[loan_amount]]*(1+0.02/6))</f>
        <v>70233.333333333343</v>
      </c>
      <c r="D191">
        <f>_xlfn.XLOOKUP(Table6[[#This Row],[loan_id]],[1]!Repayment[loan_id],[1]!Repayment[amount_paid])</f>
        <v>11900</v>
      </c>
      <c r="E191">
        <v>0</v>
      </c>
      <c r="F191">
        <f>_xlfn.XLOOKUP(Table6[[#This Row],[loan_id]],[1]!Loans[loan_id],[1]!Loans[structural_risk])</f>
        <v>0.8</v>
      </c>
      <c r="G191">
        <f>Table6[[#This Row],[behavioral_risk]]+Table6[[#This Row],[structural_risk]]</f>
        <v>0.8</v>
      </c>
      <c r="H191" s="5">
        <f>Table6[[#This Row],[total_risk]]/$G$202</f>
        <v>0.53333333333333333</v>
      </c>
      <c r="I191" t="str">
        <f>IF(Table6[[#This Row],[total_risk_pct]]&gt;0.8%,"YES","NO")</f>
        <v>YES</v>
      </c>
      <c r="J191">
        <f>IF(Table6[[#This Row],[loan_amount]]&gt;70000,2,1)</f>
        <v>1</v>
      </c>
      <c r="K191">
        <f>Table6[[#This Row],[total_risk]]*Table6[[#This Row],[stress_multiplier]]</f>
        <v>0.8</v>
      </c>
      <c r="L191" s="5">
        <f>Table6[[#This Row],[stressed_total_risk]]/$K$202</f>
        <v>0.53333333333333333</v>
      </c>
      <c r="M191">
        <f>Table6[[#This Row],[stressed_total_risk]]-Table6[[#This Row],[total_risk]]</f>
        <v>0</v>
      </c>
      <c r="N191" t="str">
        <f>_xlfn.XLOOKUP(Table6[[#This Row],[loan_id]],[1]!Loans[loan_id],[1]!Loans[loan_size_band])</f>
        <v>Large</v>
      </c>
      <c r="O191" s="4">
        <f>Table6[[#This Row],[total_paid]]/Table6[[#This Row],[total_due]]</f>
        <v>0.16943521594684383</v>
      </c>
    </row>
    <row r="192" spans="1:15" x14ac:dyDescent="0.25">
      <c r="A192" t="s">
        <v>204</v>
      </c>
      <c r="B192">
        <f>_xlfn.XLOOKUP(Table6[[#This Row],[loan_id]],[1]!Loans[loan_id],[1]!Loans[loan_amount])</f>
        <v>70000</v>
      </c>
      <c r="C192" s="4">
        <f>(Table6[[#This Row],[loan_amount]]*(1+0.02/6))</f>
        <v>70233.333333333343</v>
      </c>
      <c r="D192">
        <f>_xlfn.XLOOKUP(Table6[[#This Row],[loan_id]],[1]!Repayment[loan_id],[1]!Repayment[amount_paid])</f>
        <v>11900</v>
      </c>
      <c r="E192">
        <v>0</v>
      </c>
      <c r="F192">
        <f>_xlfn.XLOOKUP(Table6[[#This Row],[loan_id]],[1]!Loans[loan_id],[1]!Loans[structural_risk])</f>
        <v>0.8</v>
      </c>
      <c r="G192">
        <f>Table6[[#This Row],[behavioral_risk]]+Table6[[#This Row],[structural_risk]]</f>
        <v>0.8</v>
      </c>
      <c r="H192" s="5">
        <f>Table6[[#This Row],[total_risk]]/$G$202</f>
        <v>0.53333333333333333</v>
      </c>
      <c r="I192" t="str">
        <f>IF(Table6[[#This Row],[total_risk_pct]]&gt;0.8%,"YES","NO")</f>
        <v>YES</v>
      </c>
      <c r="J192">
        <f>IF(Table6[[#This Row],[loan_amount]]&gt;70000,2,1)</f>
        <v>1</v>
      </c>
      <c r="K192">
        <f>Table6[[#This Row],[total_risk]]*Table6[[#This Row],[stress_multiplier]]</f>
        <v>0.8</v>
      </c>
      <c r="L192" s="5">
        <f>Table6[[#This Row],[stressed_total_risk]]/$K$202</f>
        <v>0.53333333333333333</v>
      </c>
      <c r="M192">
        <f>Table6[[#This Row],[stressed_total_risk]]-Table6[[#This Row],[total_risk]]</f>
        <v>0</v>
      </c>
      <c r="N192" t="str">
        <f>_xlfn.XLOOKUP(Table6[[#This Row],[loan_id]],[1]!Loans[loan_id],[1]!Loans[loan_size_band])</f>
        <v>Large</v>
      </c>
      <c r="O192" s="4">
        <f>Table6[[#This Row],[total_paid]]/Table6[[#This Row],[total_due]]</f>
        <v>0.16943521594684383</v>
      </c>
    </row>
    <row r="193" spans="1:15" x14ac:dyDescent="0.25">
      <c r="A193" t="s">
        <v>205</v>
      </c>
      <c r="B193">
        <f>_xlfn.XLOOKUP(Table6[[#This Row],[loan_id]],[1]!Loans[loan_id],[1]!Loans[loan_amount])</f>
        <v>70000</v>
      </c>
      <c r="C193" s="4">
        <f>(Table6[[#This Row],[loan_amount]]*(1+0.02/6))</f>
        <v>70233.333333333343</v>
      </c>
      <c r="D193">
        <f>_xlfn.XLOOKUP(Table6[[#This Row],[loan_id]],[1]!Repayment[loan_id],[1]!Repayment[amount_paid])</f>
        <v>11900</v>
      </c>
      <c r="E193">
        <v>0</v>
      </c>
      <c r="F193">
        <f>_xlfn.XLOOKUP(Table6[[#This Row],[loan_id]],[1]!Loans[loan_id],[1]!Loans[structural_risk])</f>
        <v>0.8</v>
      </c>
      <c r="G193">
        <f>Table6[[#This Row],[behavioral_risk]]+Table6[[#This Row],[structural_risk]]</f>
        <v>0.8</v>
      </c>
      <c r="H193" s="5">
        <f>Table6[[#This Row],[total_risk]]/$G$202</f>
        <v>0.53333333333333333</v>
      </c>
      <c r="I193" t="str">
        <f>IF(Table6[[#This Row],[total_risk_pct]]&gt;0.8%,"YES","NO")</f>
        <v>YES</v>
      </c>
      <c r="J193">
        <f>IF(Table6[[#This Row],[loan_amount]]&gt;70000,2,1)</f>
        <v>1</v>
      </c>
      <c r="K193">
        <f>Table6[[#This Row],[total_risk]]*Table6[[#This Row],[stress_multiplier]]</f>
        <v>0.8</v>
      </c>
      <c r="L193" s="5">
        <f>Table6[[#This Row],[stressed_total_risk]]/$K$202</f>
        <v>0.53333333333333333</v>
      </c>
      <c r="M193">
        <f>Table6[[#This Row],[stressed_total_risk]]-Table6[[#This Row],[total_risk]]</f>
        <v>0</v>
      </c>
      <c r="N193" t="str">
        <f>_xlfn.XLOOKUP(Table6[[#This Row],[loan_id]],[1]!Loans[loan_id],[1]!Loans[loan_size_band])</f>
        <v>Large</v>
      </c>
      <c r="O193" s="4">
        <f>Table6[[#This Row],[total_paid]]/Table6[[#This Row],[total_due]]</f>
        <v>0.16943521594684383</v>
      </c>
    </row>
    <row r="194" spans="1:15" x14ac:dyDescent="0.25">
      <c r="A194" t="s">
        <v>206</v>
      </c>
      <c r="B194">
        <f>_xlfn.XLOOKUP(Table6[[#This Row],[loan_id]],[1]!Loans[loan_id],[1]!Loans[loan_amount])</f>
        <v>50000</v>
      </c>
      <c r="C194" s="4">
        <f>(Table6[[#This Row],[loan_amount]]*(1+0.02/6))</f>
        <v>50166.666666666672</v>
      </c>
      <c r="D194">
        <f>_xlfn.XLOOKUP(Table6[[#This Row],[loan_id]],[1]!Repayment[loan_id],[1]!Repayment[amount_paid])</f>
        <v>8500</v>
      </c>
      <c r="E194">
        <v>0</v>
      </c>
      <c r="F194">
        <f>_xlfn.XLOOKUP(Table6[[#This Row],[loan_id]],[1]!Loans[loan_id],[1]!Loans[structural_risk])</f>
        <v>0.5</v>
      </c>
      <c r="G194">
        <f>Table6[[#This Row],[behavioral_risk]]+Table6[[#This Row],[structural_risk]]</f>
        <v>0.5</v>
      </c>
      <c r="H194" s="5">
        <f>Table6[[#This Row],[total_risk]]/$G$202</f>
        <v>0.33333333333333331</v>
      </c>
      <c r="I194" t="str">
        <f>IF(Table6[[#This Row],[total_risk_pct]]&gt;0.8%,"YES","NO")</f>
        <v>YES</v>
      </c>
      <c r="J194">
        <f>IF(Table6[[#This Row],[loan_amount]]&gt;70000,2,1)</f>
        <v>1</v>
      </c>
      <c r="K194">
        <f>Table6[[#This Row],[total_risk]]*Table6[[#This Row],[stress_multiplier]]</f>
        <v>0.5</v>
      </c>
      <c r="L194" s="5">
        <f>Table6[[#This Row],[stressed_total_risk]]/$K$202</f>
        <v>0.33333333333333331</v>
      </c>
      <c r="M194">
        <f>Table6[[#This Row],[stressed_total_risk]]-Table6[[#This Row],[total_risk]]</f>
        <v>0</v>
      </c>
      <c r="N194" t="str">
        <f>_xlfn.XLOOKUP(Table6[[#This Row],[loan_id]],[1]!Loans[loan_id],[1]!Loans[loan_size_band])</f>
        <v>Medium</v>
      </c>
      <c r="O194" s="4">
        <f>Table6[[#This Row],[total_paid]]/Table6[[#This Row],[total_due]]</f>
        <v>0.16943521594684383</v>
      </c>
    </row>
    <row r="195" spans="1:15" x14ac:dyDescent="0.25">
      <c r="A195" t="s">
        <v>207</v>
      </c>
      <c r="B195">
        <f>_xlfn.XLOOKUP(Table6[[#This Row],[loan_id]],[1]!Loans[loan_id],[1]!Loans[loan_amount])</f>
        <v>60000</v>
      </c>
      <c r="C195" s="4">
        <f>(Table6[[#This Row],[loan_amount]]*(1+0.02/6))</f>
        <v>60200.000000000007</v>
      </c>
      <c r="D195">
        <f>_xlfn.XLOOKUP(Table6[[#This Row],[loan_id]],[1]!Repayment[loan_id],[1]!Repayment[amount_paid])</f>
        <v>10200</v>
      </c>
      <c r="E195">
        <v>0</v>
      </c>
      <c r="F195">
        <f>_xlfn.XLOOKUP(Table6[[#This Row],[loan_id]],[1]!Loans[loan_id],[1]!Loans[structural_risk])</f>
        <v>0.5</v>
      </c>
      <c r="G195">
        <f>Table6[[#This Row],[behavioral_risk]]+Table6[[#This Row],[structural_risk]]</f>
        <v>0.5</v>
      </c>
      <c r="H195" s="5">
        <f>Table6[[#This Row],[total_risk]]/$G$202</f>
        <v>0.33333333333333331</v>
      </c>
      <c r="I195" t="str">
        <f>IF(Table6[[#This Row],[total_risk_pct]]&gt;0.8%,"YES","NO")</f>
        <v>YES</v>
      </c>
      <c r="J195">
        <f>IF(Table6[[#This Row],[loan_amount]]&gt;70000,2,1)</f>
        <v>1</v>
      </c>
      <c r="K195">
        <f>Table6[[#This Row],[total_risk]]*Table6[[#This Row],[stress_multiplier]]</f>
        <v>0.5</v>
      </c>
      <c r="L195" s="5">
        <f>Table6[[#This Row],[stressed_total_risk]]/$K$202</f>
        <v>0.33333333333333331</v>
      </c>
      <c r="M195">
        <f>Table6[[#This Row],[stressed_total_risk]]-Table6[[#This Row],[total_risk]]</f>
        <v>0</v>
      </c>
      <c r="N195" t="str">
        <f>_xlfn.XLOOKUP(Table6[[#This Row],[loan_id]],[1]!Loans[loan_id],[1]!Loans[loan_size_band])</f>
        <v>Medium</v>
      </c>
      <c r="O195" s="4">
        <f>Table6[[#This Row],[total_paid]]/Table6[[#This Row],[total_due]]</f>
        <v>0.16943521594684383</v>
      </c>
    </row>
    <row r="196" spans="1:15" x14ac:dyDescent="0.25">
      <c r="A196" t="s">
        <v>208</v>
      </c>
      <c r="B196">
        <f>_xlfn.XLOOKUP(Table6[[#This Row],[loan_id]],[1]!Loans[loan_id],[1]!Loans[loan_amount])</f>
        <v>60000</v>
      </c>
      <c r="C196" s="4">
        <f>(Table6[[#This Row],[loan_amount]]*(1+0.02/6))</f>
        <v>60200.000000000007</v>
      </c>
      <c r="D196">
        <f>_xlfn.XLOOKUP(Table6[[#This Row],[loan_id]],[1]!Repayment[loan_id],[1]!Repayment[amount_paid])</f>
        <v>10200</v>
      </c>
      <c r="E196">
        <v>0</v>
      </c>
      <c r="F196">
        <f>_xlfn.XLOOKUP(Table6[[#This Row],[loan_id]],[1]!Loans[loan_id],[1]!Loans[structural_risk])</f>
        <v>0.5</v>
      </c>
      <c r="G196">
        <f>Table6[[#This Row],[behavioral_risk]]+Table6[[#This Row],[structural_risk]]</f>
        <v>0.5</v>
      </c>
      <c r="H196" s="5">
        <f>Table6[[#This Row],[total_risk]]/$G$202</f>
        <v>0.33333333333333331</v>
      </c>
      <c r="I196" t="str">
        <f>IF(Table6[[#This Row],[total_risk_pct]]&gt;0.8%,"YES","NO")</f>
        <v>YES</v>
      </c>
      <c r="J196">
        <f>IF(Table6[[#This Row],[loan_amount]]&gt;70000,2,1)</f>
        <v>1</v>
      </c>
      <c r="K196">
        <f>Table6[[#This Row],[total_risk]]*Table6[[#This Row],[stress_multiplier]]</f>
        <v>0.5</v>
      </c>
      <c r="L196" s="5">
        <f>Table6[[#This Row],[stressed_total_risk]]/$K$202</f>
        <v>0.33333333333333331</v>
      </c>
      <c r="M196">
        <f>Table6[[#This Row],[stressed_total_risk]]-Table6[[#This Row],[total_risk]]</f>
        <v>0</v>
      </c>
      <c r="N196" t="str">
        <f>_xlfn.XLOOKUP(Table6[[#This Row],[loan_id]],[1]!Loans[loan_id],[1]!Loans[loan_size_band])</f>
        <v>Medium</v>
      </c>
      <c r="O196" s="4">
        <f>Table6[[#This Row],[total_paid]]/Table6[[#This Row],[total_due]]</f>
        <v>0.16943521594684383</v>
      </c>
    </row>
    <row r="197" spans="1:15" x14ac:dyDescent="0.25">
      <c r="A197" t="s">
        <v>209</v>
      </c>
      <c r="B197">
        <f>_xlfn.XLOOKUP(Table6[[#This Row],[loan_id]],[1]!Loans[loan_id],[1]!Loans[loan_amount])</f>
        <v>60000</v>
      </c>
      <c r="C197" s="4">
        <f>(Table6[[#This Row],[loan_amount]]*(1+0.02/6))</f>
        <v>60200.000000000007</v>
      </c>
      <c r="D197">
        <f>_xlfn.XLOOKUP(Table6[[#This Row],[loan_id]],[1]!Repayment[loan_id],[1]!Repayment[amount_paid])</f>
        <v>10200</v>
      </c>
      <c r="E197">
        <v>0</v>
      </c>
      <c r="F197">
        <f>_xlfn.XLOOKUP(Table6[[#This Row],[loan_id]],[1]!Loans[loan_id],[1]!Loans[structural_risk])</f>
        <v>0.5</v>
      </c>
      <c r="G197">
        <f>Table6[[#This Row],[behavioral_risk]]+Table6[[#This Row],[structural_risk]]</f>
        <v>0.5</v>
      </c>
      <c r="H197" s="5">
        <f>Table6[[#This Row],[total_risk]]/$G$202</f>
        <v>0.33333333333333331</v>
      </c>
      <c r="I197" t="str">
        <f>IF(Table6[[#This Row],[total_risk_pct]]&gt;0.8%,"YES","NO")</f>
        <v>YES</v>
      </c>
      <c r="J197">
        <f>IF(Table6[[#This Row],[loan_amount]]&gt;70000,2,1)</f>
        <v>1</v>
      </c>
      <c r="K197">
        <f>Table6[[#This Row],[total_risk]]*Table6[[#This Row],[stress_multiplier]]</f>
        <v>0.5</v>
      </c>
      <c r="L197" s="5">
        <f>Table6[[#This Row],[stressed_total_risk]]/$K$202</f>
        <v>0.33333333333333331</v>
      </c>
      <c r="M197">
        <f>Table6[[#This Row],[stressed_total_risk]]-Table6[[#This Row],[total_risk]]</f>
        <v>0</v>
      </c>
      <c r="N197" t="str">
        <f>_xlfn.XLOOKUP(Table6[[#This Row],[loan_id]],[1]!Loans[loan_id],[1]!Loans[loan_size_band])</f>
        <v>Medium</v>
      </c>
      <c r="O197" s="4">
        <f>Table6[[#This Row],[total_paid]]/Table6[[#This Row],[total_due]]</f>
        <v>0.16943521594684383</v>
      </c>
    </row>
    <row r="198" spans="1:15" x14ac:dyDescent="0.25">
      <c r="A198" t="s">
        <v>210</v>
      </c>
      <c r="B198">
        <f>_xlfn.XLOOKUP(Table6[[#This Row],[loan_id]],[1]!Loans[loan_id],[1]!Loans[loan_amount])</f>
        <v>30000</v>
      </c>
      <c r="C198" s="4">
        <f>(Table6[[#This Row],[loan_amount]]*(1+0.02/6))</f>
        <v>30100.000000000004</v>
      </c>
      <c r="D198">
        <f>_xlfn.XLOOKUP(Table6[[#This Row],[loan_id]],[1]!Repayment[loan_id],[1]!Repayment[amount_paid])</f>
        <v>5100</v>
      </c>
      <c r="E198">
        <v>0.5</v>
      </c>
      <c r="F198">
        <f>_xlfn.XLOOKUP(Table6[[#This Row],[loan_id]],[1]!Loans[loan_id],[1]!Loans[structural_risk])</f>
        <v>0.5</v>
      </c>
      <c r="G198">
        <f>Table6[[#This Row],[behavioral_risk]]+Table6[[#This Row],[structural_risk]]</f>
        <v>1</v>
      </c>
      <c r="H198" s="5">
        <f>Table6[[#This Row],[total_risk]]/$G$202</f>
        <v>0.66666666666666663</v>
      </c>
      <c r="I198" t="str">
        <f>IF(Table6[[#This Row],[total_risk_pct]]&gt;0.8%,"YES","NO")</f>
        <v>YES</v>
      </c>
      <c r="J198">
        <f>IF(Table6[[#This Row],[loan_amount]]&gt;70000,2,1)</f>
        <v>1</v>
      </c>
      <c r="K198">
        <f>Table6[[#This Row],[total_risk]]*Table6[[#This Row],[stress_multiplier]]</f>
        <v>1</v>
      </c>
      <c r="L198" s="5">
        <f>Table6[[#This Row],[stressed_total_risk]]/$K$202</f>
        <v>0.66666666666666663</v>
      </c>
      <c r="M198">
        <f>Table6[[#This Row],[stressed_total_risk]]-Table6[[#This Row],[total_risk]]</f>
        <v>0</v>
      </c>
      <c r="N198" t="str">
        <f>_xlfn.XLOOKUP(Table6[[#This Row],[loan_id]],[1]!Loans[loan_id],[1]!Loans[loan_size_band])</f>
        <v>Medium</v>
      </c>
      <c r="O198" s="4">
        <f>Table6[[#This Row],[total_paid]]/Table6[[#This Row],[total_due]]</f>
        <v>0.16943521594684383</v>
      </c>
    </row>
    <row r="199" spans="1:15" x14ac:dyDescent="0.25">
      <c r="A199" t="s">
        <v>211</v>
      </c>
      <c r="B199">
        <f>_xlfn.XLOOKUP(Table6[[#This Row],[loan_id]],[1]!Loans[loan_id],[1]!Loans[loan_amount])</f>
        <v>70000</v>
      </c>
      <c r="C199" s="4">
        <f>(Table6[[#This Row],[loan_amount]]*(1+0.02/6))</f>
        <v>70233.333333333343</v>
      </c>
      <c r="D199">
        <f>_xlfn.XLOOKUP(Table6[[#This Row],[loan_id]],[1]!Repayment[loan_id],[1]!Repayment[amount_paid])</f>
        <v>11900</v>
      </c>
      <c r="E199">
        <v>0.5</v>
      </c>
      <c r="F199">
        <f>_xlfn.XLOOKUP(Table6[[#This Row],[loan_id]],[1]!Loans[loan_id],[1]!Loans[structural_risk])</f>
        <v>0.8</v>
      </c>
      <c r="G199">
        <f>Table6[[#This Row],[behavioral_risk]]+Table6[[#This Row],[structural_risk]]</f>
        <v>1.3</v>
      </c>
      <c r="H199" s="5">
        <f>Table6[[#This Row],[total_risk]]/$G$202</f>
        <v>0.8666666666666667</v>
      </c>
      <c r="I199" t="str">
        <f>IF(Table6[[#This Row],[total_risk_pct]]&gt;0.8%,"YES","NO")</f>
        <v>YES</v>
      </c>
      <c r="J199">
        <f>IF(Table6[[#This Row],[loan_amount]]&gt;70000,2,1)</f>
        <v>1</v>
      </c>
      <c r="K199">
        <f>Table6[[#This Row],[total_risk]]*Table6[[#This Row],[stress_multiplier]]</f>
        <v>1.3</v>
      </c>
      <c r="L199" s="5">
        <f>Table6[[#This Row],[stressed_total_risk]]/$K$202</f>
        <v>0.8666666666666667</v>
      </c>
      <c r="M199">
        <f>Table6[[#This Row],[stressed_total_risk]]-Table6[[#This Row],[total_risk]]</f>
        <v>0</v>
      </c>
      <c r="N199" t="str">
        <f>_xlfn.XLOOKUP(Table6[[#This Row],[loan_id]],[1]!Loans[loan_id],[1]!Loans[loan_size_band])</f>
        <v>Large</v>
      </c>
      <c r="O199" s="4">
        <f>Table6[[#This Row],[total_paid]]/Table6[[#This Row],[total_due]]</f>
        <v>0.16943521594684383</v>
      </c>
    </row>
    <row r="200" spans="1:15" x14ac:dyDescent="0.25">
      <c r="A200" t="s">
        <v>212</v>
      </c>
      <c r="B200">
        <f>_xlfn.XLOOKUP(Table6[[#This Row],[loan_id]],[1]!Loans[loan_id],[1]!Loans[loan_amount])</f>
        <v>60000</v>
      </c>
      <c r="C200" s="4">
        <f>(Table6[[#This Row],[loan_amount]]*(1+0.02/6))</f>
        <v>60200.000000000007</v>
      </c>
      <c r="D200">
        <f>_xlfn.XLOOKUP(Table6[[#This Row],[loan_id]],[1]!Repayment[loan_id],[1]!Repayment[amount_paid])</f>
        <v>10200</v>
      </c>
      <c r="E200">
        <v>0.5</v>
      </c>
      <c r="F200">
        <f>_xlfn.XLOOKUP(Table6[[#This Row],[loan_id]],[1]!Loans[loan_id],[1]!Loans[structural_risk])</f>
        <v>0.5</v>
      </c>
      <c r="G200">
        <f>Table6[[#This Row],[behavioral_risk]]+Table6[[#This Row],[structural_risk]]</f>
        <v>1</v>
      </c>
      <c r="H200" s="5">
        <f>Table6[[#This Row],[total_risk]]/$G$202</f>
        <v>0.66666666666666663</v>
      </c>
      <c r="I200" t="str">
        <f>IF(Table6[[#This Row],[total_risk_pct]]&gt;0.8%,"YES","NO")</f>
        <v>YES</v>
      </c>
      <c r="J200">
        <f>IF(Table6[[#This Row],[loan_amount]]&gt;70000,2,1)</f>
        <v>1</v>
      </c>
      <c r="K200">
        <f>Table6[[#This Row],[total_risk]]*Table6[[#This Row],[stress_multiplier]]</f>
        <v>1</v>
      </c>
      <c r="L200" s="5">
        <f>Table6[[#This Row],[stressed_total_risk]]/$K$202</f>
        <v>0.66666666666666663</v>
      </c>
      <c r="M200">
        <f>Table6[[#This Row],[stressed_total_risk]]-Table6[[#This Row],[total_risk]]</f>
        <v>0</v>
      </c>
      <c r="N200" t="str">
        <f>_xlfn.XLOOKUP(Table6[[#This Row],[loan_id]],[1]!Loans[loan_id],[1]!Loans[loan_size_band])</f>
        <v>Medium</v>
      </c>
      <c r="O200" s="4">
        <f>Table6[[#This Row],[total_paid]]/Table6[[#This Row],[total_due]]</f>
        <v>0.16943521594684383</v>
      </c>
    </row>
    <row r="201" spans="1:15" x14ac:dyDescent="0.25">
      <c r="A201" t="s">
        <v>213</v>
      </c>
      <c r="B201">
        <f>_xlfn.XLOOKUP(Table6[[#This Row],[loan_id]],[1]!Loans[loan_id],[1]!Loans[loan_amount])</f>
        <v>70000</v>
      </c>
      <c r="C201" s="4">
        <f>(Table6[[#This Row],[loan_amount]]*(1+0.02/6))</f>
        <v>70233.333333333343</v>
      </c>
      <c r="D201">
        <f>_xlfn.XLOOKUP(Table6[[#This Row],[loan_id]],[1]!Repayment[loan_id],[1]!Repayment[amount_paid])</f>
        <v>11900</v>
      </c>
      <c r="E201">
        <v>0.5</v>
      </c>
      <c r="F201">
        <f>_xlfn.XLOOKUP(Table6[[#This Row],[loan_id]],[1]!Loans[loan_id],[1]!Loans[structural_risk])</f>
        <v>0.8</v>
      </c>
      <c r="G201">
        <f>Table6[[#This Row],[behavioral_risk]]+Table6[[#This Row],[structural_risk]]</f>
        <v>1.3</v>
      </c>
      <c r="H201" s="5">
        <f>Table6[[#This Row],[total_risk]]/$G$202</f>
        <v>0.8666666666666667</v>
      </c>
      <c r="I201" t="str">
        <f>IF(Table6[[#This Row],[total_risk_pct]]&gt;0.8%,"YES","NO")</f>
        <v>YES</v>
      </c>
      <c r="J201">
        <f>IF(Table6[[#This Row],[loan_amount]]&gt;70000,2,1)</f>
        <v>1</v>
      </c>
      <c r="K201">
        <f>Table6[[#This Row],[total_risk]]*Table6[[#This Row],[stress_multiplier]]</f>
        <v>1.3</v>
      </c>
      <c r="L201" s="5">
        <f>Table6[[#This Row],[stressed_total_risk]]/$K$202</f>
        <v>0.8666666666666667</v>
      </c>
      <c r="M201">
        <f>Table6[[#This Row],[stressed_total_risk]]-Table6[[#This Row],[total_risk]]</f>
        <v>0</v>
      </c>
      <c r="N201" t="str">
        <f>_xlfn.XLOOKUP(Table6[[#This Row],[loan_id]],[1]!Loans[loan_id],[1]!Loans[loan_size_band])</f>
        <v>Large</v>
      </c>
      <c r="O201" s="4">
        <f>Table6[[#This Row],[total_paid]]/Table6[[#This Row],[total_due]]</f>
        <v>0.16943521594684383</v>
      </c>
    </row>
    <row r="202" spans="1:15" x14ac:dyDescent="0.25">
      <c r="A202" t="s">
        <v>214</v>
      </c>
      <c r="B202">
        <f>_xlfn.XLOOKUP(Table6[[#This Row],[loan_id]],[1]!Loans[loan_id],[1]!Loans[loan_amount])</f>
        <v>40000</v>
      </c>
      <c r="C202" s="4">
        <f>(Table6[[#This Row],[loan_amount]]*(1+0.02/6))</f>
        <v>40133.333333333336</v>
      </c>
      <c r="D202">
        <f>_xlfn.XLOOKUP(Table6[[#This Row],[loan_id]],[1]!Repayment[loan_id],[1]!Repayment[amount_paid])</f>
        <v>6800</v>
      </c>
      <c r="E202">
        <v>1</v>
      </c>
      <c r="F202">
        <f>_xlfn.XLOOKUP(Table6[[#This Row],[loan_id]],[1]!Loans[loan_id],[1]!Loans[structural_risk])</f>
        <v>0.5</v>
      </c>
      <c r="G202">
        <f>Table6[[#This Row],[behavioral_risk]]+Table6[[#This Row],[structural_risk]]</f>
        <v>1.5</v>
      </c>
      <c r="H202" s="5">
        <f>Table6[[#This Row],[total_risk]]/$G$202</f>
        <v>1</v>
      </c>
      <c r="I202" t="str">
        <f>IF(Table6[[#This Row],[total_risk_pct]]&gt;0.8%,"YES","NO")</f>
        <v>YES</v>
      </c>
      <c r="J202">
        <f>IF(Table6[[#This Row],[loan_amount]]&gt;70000,2,1)</f>
        <v>1</v>
      </c>
      <c r="K202">
        <f>Table6[[#This Row],[total_risk]]*Table6[[#This Row],[stress_multiplier]]</f>
        <v>1.5</v>
      </c>
      <c r="L202" s="5">
        <f>Table6[[#This Row],[stressed_total_risk]]/$K$202</f>
        <v>1</v>
      </c>
      <c r="M202">
        <f>Table6[[#This Row],[stressed_total_risk]]-Table6[[#This Row],[total_risk]]</f>
        <v>0</v>
      </c>
      <c r="N202" t="str">
        <f>_xlfn.XLOOKUP(Table6[[#This Row],[loan_id]],[1]!Loans[loan_id],[1]!Loans[loan_size_band])</f>
        <v>Medium</v>
      </c>
      <c r="O202" s="4">
        <f>Table6[[#This Row],[total_paid]]/Table6[[#This Row],[total_due]]</f>
        <v>0.16943521594684385</v>
      </c>
    </row>
    <row r="203" spans="1:15" x14ac:dyDescent="0.25">
      <c r="K203">
        <f>SUM(K2:K201)</f>
        <v>379.1000000000011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2026-01-02T18:25:14Z</dcterms:modified>
</cp:coreProperties>
</file>