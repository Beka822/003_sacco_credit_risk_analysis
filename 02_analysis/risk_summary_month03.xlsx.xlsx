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DEPRIME.SHOP\Documents\003-sacco_credit_analysis\02_analysis\"/>
    </mc:Choice>
  </mc:AlternateContent>
  <xr:revisionPtr revIDLastSave="0" documentId="13_ncr:1_{E0997A0B-2F08-499A-B48E-605753AAEF6E}" xr6:coauthVersionLast="47" xr6:coauthVersionMax="47" xr10:uidLastSave="{00000000-0000-0000-0000-000000000000}"/>
  <bookViews>
    <workbookView xWindow="-60" yWindow="2310" windowWidth="7695" windowHeight="7875" xr2:uid="{00000000-000D-0000-FFFF-FFFF00000000}"/>
  </bookViews>
  <sheets>
    <sheet name="Risk_Summary_M03 (2)" sheetId="2" r:id="rId1"/>
    <sheet name="Sheet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2" i="2" l="1"/>
  <c r="E202" i="2"/>
  <c r="C202" i="2"/>
  <c r="B202" i="2"/>
  <c r="D202" i="2" s="1"/>
  <c r="F202" i="2" s="1"/>
  <c r="G201" i="2"/>
  <c r="E201" i="2"/>
  <c r="C201" i="2"/>
  <c r="B201" i="2"/>
  <c r="D201" i="2" s="1"/>
  <c r="F201" i="2" s="1"/>
  <c r="G200" i="2"/>
  <c r="E200" i="2"/>
  <c r="C200" i="2"/>
  <c r="B200" i="2"/>
  <c r="D200" i="2" s="1"/>
  <c r="F200" i="2" s="1"/>
  <c r="G199" i="2"/>
  <c r="E199" i="2"/>
  <c r="C199" i="2"/>
  <c r="B199" i="2"/>
  <c r="D199" i="2" s="1"/>
  <c r="F199" i="2" s="1"/>
  <c r="G198" i="2"/>
  <c r="E198" i="2"/>
  <c r="C198" i="2"/>
  <c r="B198" i="2"/>
  <c r="D198" i="2" s="1"/>
  <c r="F198" i="2" s="1"/>
  <c r="G197" i="2"/>
  <c r="E197" i="2"/>
  <c r="C197" i="2"/>
  <c r="B197" i="2"/>
  <c r="D197" i="2" s="1"/>
  <c r="F197" i="2" s="1"/>
  <c r="G196" i="2"/>
  <c r="E196" i="2"/>
  <c r="C196" i="2"/>
  <c r="B196" i="2"/>
  <c r="D196" i="2" s="1"/>
  <c r="F196" i="2" s="1"/>
  <c r="G195" i="2"/>
  <c r="E195" i="2"/>
  <c r="C195" i="2"/>
  <c r="B195" i="2"/>
  <c r="D195" i="2" s="1"/>
  <c r="F195" i="2" s="1"/>
  <c r="G194" i="2"/>
  <c r="E194" i="2"/>
  <c r="C194" i="2"/>
  <c r="B194" i="2"/>
  <c r="D194" i="2" s="1"/>
  <c r="F194" i="2" s="1"/>
  <c r="G193" i="2"/>
  <c r="E193" i="2"/>
  <c r="C193" i="2"/>
  <c r="B193" i="2"/>
  <c r="D193" i="2" s="1"/>
  <c r="F193" i="2" s="1"/>
  <c r="G192" i="2"/>
  <c r="E192" i="2"/>
  <c r="C192" i="2"/>
  <c r="B192" i="2"/>
  <c r="D192" i="2" s="1"/>
  <c r="F192" i="2" s="1"/>
  <c r="G191" i="2"/>
  <c r="E191" i="2"/>
  <c r="C191" i="2"/>
  <c r="B191" i="2"/>
  <c r="D191" i="2" s="1"/>
  <c r="F191" i="2" s="1"/>
  <c r="G190" i="2"/>
  <c r="E190" i="2"/>
  <c r="C190" i="2"/>
  <c r="B190" i="2"/>
  <c r="D190" i="2" s="1"/>
  <c r="F190" i="2" s="1"/>
  <c r="G189" i="2"/>
  <c r="E189" i="2"/>
  <c r="C189" i="2"/>
  <c r="B189" i="2"/>
  <c r="D189" i="2" s="1"/>
  <c r="F189" i="2" s="1"/>
  <c r="G188" i="2"/>
  <c r="E188" i="2"/>
  <c r="C188" i="2"/>
  <c r="B188" i="2"/>
  <c r="D188" i="2" s="1"/>
  <c r="F188" i="2" s="1"/>
  <c r="G187" i="2"/>
  <c r="E187" i="2"/>
  <c r="C187" i="2"/>
  <c r="B187" i="2"/>
  <c r="D187" i="2" s="1"/>
  <c r="F187" i="2" s="1"/>
  <c r="G186" i="2"/>
  <c r="E186" i="2"/>
  <c r="C186" i="2"/>
  <c r="B186" i="2"/>
  <c r="D186" i="2" s="1"/>
  <c r="F186" i="2" s="1"/>
  <c r="G185" i="2"/>
  <c r="E185" i="2"/>
  <c r="C185" i="2"/>
  <c r="B185" i="2"/>
  <c r="D185" i="2" s="1"/>
  <c r="F185" i="2" s="1"/>
  <c r="G184" i="2"/>
  <c r="E184" i="2"/>
  <c r="C184" i="2"/>
  <c r="B184" i="2"/>
  <c r="D184" i="2" s="1"/>
  <c r="F184" i="2" s="1"/>
  <c r="G183" i="2"/>
  <c r="E183" i="2"/>
  <c r="C183" i="2"/>
  <c r="B183" i="2"/>
  <c r="D183" i="2" s="1"/>
  <c r="F183" i="2" s="1"/>
  <c r="G182" i="2"/>
  <c r="E182" i="2"/>
  <c r="C182" i="2"/>
  <c r="B182" i="2"/>
  <c r="D182" i="2" s="1"/>
  <c r="F182" i="2" s="1"/>
  <c r="G181" i="2"/>
  <c r="E181" i="2"/>
  <c r="C181" i="2"/>
  <c r="B181" i="2"/>
  <c r="D181" i="2" s="1"/>
  <c r="F181" i="2" s="1"/>
  <c r="G180" i="2"/>
  <c r="E180" i="2"/>
  <c r="C180" i="2"/>
  <c r="B180" i="2"/>
  <c r="D180" i="2" s="1"/>
  <c r="F180" i="2" s="1"/>
  <c r="G179" i="2"/>
  <c r="E179" i="2"/>
  <c r="C179" i="2"/>
  <c r="B179" i="2"/>
  <c r="D179" i="2" s="1"/>
  <c r="F179" i="2" s="1"/>
  <c r="G178" i="2"/>
  <c r="E178" i="2"/>
  <c r="C178" i="2"/>
  <c r="B178" i="2"/>
  <c r="D178" i="2" s="1"/>
  <c r="F178" i="2" s="1"/>
  <c r="G177" i="2"/>
  <c r="E177" i="2"/>
  <c r="C177" i="2"/>
  <c r="B177" i="2"/>
  <c r="D177" i="2" s="1"/>
  <c r="F177" i="2" s="1"/>
  <c r="G176" i="2"/>
  <c r="E176" i="2"/>
  <c r="C176" i="2"/>
  <c r="B176" i="2"/>
  <c r="D176" i="2" s="1"/>
  <c r="F176" i="2" s="1"/>
  <c r="G175" i="2"/>
  <c r="E175" i="2"/>
  <c r="C175" i="2"/>
  <c r="B175" i="2"/>
  <c r="D175" i="2" s="1"/>
  <c r="F175" i="2" s="1"/>
  <c r="G174" i="2"/>
  <c r="E174" i="2"/>
  <c r="C174" i="2"/>
  <c r="B174" i="2"/>
  <c r="D174" i="2" s="1"/>
  <c r="F174" i="2" s="1"/>
  <c r="G173" i="2"/>
  <c r="E173" i="2"/>
  <c r="C173" i="2"/>
  <c r="B173" i="2"/>
  <c r="D173" i="2" s="1"/>
  <c r="F173" i="2" s="1"/>
  <c r="G172" i="2"/>
  <c r="E172" i="2"/>
  <c r="C172" i="2"/>
  <c r="B172" i="2"/>
  <c r="D172" i="2" s="1"/>
  <c r="F172" i="2" s="1"/>
  <c r="G171" i="2"/>
  <c r="E171" i="2"/>
  <c r="C171" i="2"/>
  <c r="B171" i="2"/>
  <c r="D171" i="2" s="1"/>
  <c r="F171" i="2" s="1"/>
  <c r="G170" i="2"/>
  <c r="E170" i="2"/>
  <c r="C170" i="2"/>
  <c r="B170" i="2"/>
  <c r="D170" i="2" s="1"/>
  <c r="F170" i="2" s="1"/>
  <c r="G169" i="2"/>
  <c r="E169" i="2"/>
  <c r="C169" i="2"/>
  <c r="B169" i="2"/>
  <c r="D169" i="2" s="1"/>
  <c r="F169" i="2" s="1"/>
  <c r="G168" i="2"/>
  <c r="E168" i="2"/>
  <c r="C168" i="2"/>
  <c r="B168" i="2"/>
  <c r="D168" i="2" s="1"/>
  <c r="F168" i="2" s="1"/>
  <c r="G167" i="2"/>
  <c r="E167" i="2"/>
  <c r="C167" i="2"/>
  <c r="B167" i="2"/>
  <c r="D167" i="2" s="1"/>
  <c r="F167" i="2" s="1"/>
  <c r="G166" i="2"/>
  <c r="E166" i="2"/>
  <c r="C166" i="2"/>
  <c r="B166" i="2"/>
  <c r="D166" i="2" s="1"/>
  <c r="F166" i="2" s="1"/>
  <c r="G165" i="2"/>
  <c r="E165" i="2"/>
  <c r="C165" i="2"/>
  <c r="B165" i="2"/>
  <c r="D165" i="2" s="1"/>
  <c r="F165" i="2" s="1"/>
  <c r="G164" i="2"/>
  <c r="E164" i="2"/>
  <c r="C164" i="2"/>
  <c r="B164" i="2"/>
  <c r="D164" i="2" s="1"/>
  <c r="F164" i="2" s="1"/>
  <c r="G163" i="2"/>
  <c r="E163" i="2"/>
  <c r="C163" i="2"/>
  <c r="B163" i="2"/>
  <c r="D163" i="2" s="1"/>
  <c r="F163" i="2" s="1"/>
  <c r="G162" i="2"/>
  <c r="E162" i="2"/>
  <c r="C162" i="2"/>
  <c r="B162" i="2"/>
  <c r="D162" i="2" s="1"/>
  <c r="F162" i="2" s="1"/>
  <c r="G161" i="2"/>
  <c r="E161" i="2"/>
  <c r="C161" i="2"/>
  <c r="B161" i="2"/>
  <c r="D161" i="2" s="1"/>
  <c r="F161" i="2" s="1"/>
  <c r="G160" i="2"/>
  <c r="E160" i="2"/>
  <c r="C160" i="2"/>
  <c r="B160" i="2"/>
  <c r="D160" i="2" s="1"/>
  <c r="F160" i="2" s="1"/>
  <c r="G159" i="2"/>
  <c r="E159" i="2"/>
  <c r="C159" i="2"/>
  <c r="B159" i="2"/>
  <c r="D159" i="2" s="1"/>
  <c r="F159" i="2" s="1"/>
  <c r="G158" i="2"/>
  <c r="E158" i="2"/>
  <c r="C158" i="2"/>
  <c r="B158" i="2"/>
  <c r="D158" i="2" s="1"/>
  <c r="F158" i="2" s="1"/>
  <c r="G157" i="2"/>
  <c r="E157" i="2"/>
  <c r="C157" i="2"/>
  <c r="B157" i="2"/>
  <c r="D157" i="2" s="1"/>
  <c r="F157" i="2" s="1"/>
  <c r="G156" i="2"/>
  <c r="E156" i="2"/>
  <c r="C156" i="2"/>
  <c r="B156" i="2"/>
  <c r="D156" i="2" s="1"/>
  <c r="F156" i="2" s="1"/>
  <c r="G155" i="2"/>
  <c r="E155" i="2"/>
  <c r="C155" i="2"/>
  <c r="B155" i="2"/>
  <c r="D155" i="2" s="1"/>
  <c r="F155" i="2" s="1"/>
  <c r="G154" i="2"/>
  <c r="E154" i="2"/>
  <c r="C154" i="2"/>
  <c r="B154" i="2"/>
  <c r="D154" i="2" s="1"/>
  <c r="F154" i="2" s="1"/>
  <c r="G153" i="2"/>
  <c r="E153" i="2"/>
  <c r="C153" i="2"/>
  <c r="B153" i="2"/>
  <c r="D153" i="2" s="1"/>
  <c r="F153" i="2" s="1"/>
  <c r="G152" i="2"/>
  <c r="E152" i="2"/>
  <c r="C152" i="2"/>
  <c r="B152" i="2"/>
  <c r="D152" i="2" s="1"/>
  <c r="F152" i="2" s="1"/>
  <c r="G151" i="2"/>
  <c r="E151" i="2"/>
  <c r="C151" i="2"/>
  <c r="B151" i="2"/>
  <c r="D151" i="2" s="1"/>
  <c r="F151" i="2" s="1"/>
  <c r="G150" i="2"/>
  <c r="E150" i="2"/>
  <c r="C150" i="2"/>
  <c r="B150" i="2"/>
  <c r="D150" i="2" s="1"/>
  <c r="F150" i="2" s="1"/>
  <c r="G149" i="2"/>
  <c r="E149" i="2"/>
  <c r="C149" i="2"/>
  <c r="B149" i="2"/>
  <c r="D149" i="2" s="1"/>
  <c r="F149" i="2" s="1"/>
  <c r="G148" i="2"/>
  <c r="E148" i="2"/>
  <c r="C148" i="2"/>
  <c r="B148" i="2"/>
  <c r="D148" i="2" s="1"/>
  <c r="F148" i="2" s="1"/>
  <c r="G147" i="2"/>
  <c r="E147" i="2"/>
  <c r="C147" i="2"/>
  <c r="B147" i="2"/>
  <c r="D147" i="2" s="1"/>
  <c r="F147" i="2" s="1"/>
  <c r="G146" i="2"/>
  <c r="E146" i="2"/>
  <c r="C146" i="2"/>
  <c r="B146" i="2"/>
  <c r="D146" i="2" s="1"/>
  <c r="F146" i="2" s="1"/>
  <c r="G145" i="2"/>
  <c r="E145" i="2"/>
  <c r="C145" i="2"/>
  <c r="B145" i="2"/>
  <c r="D145" i="2" s="1"/>
  <c r="F145" i="2" s="1"/>
  <c r="G144" i="2"/>
  <c r="E144" i="2"/>
  <c r="C144" i="2"/>
  <c r="B144" i="2"/>
  <c r="D144" i="2" s="1"/>
  <c r="F144" i="2" s="1"/>
  <c r="G143" i="2"/>
  <c r="E143" i="2"/>
  <c r="C143" i="2"/>
  <c r="B143" i="2"/>
  <c r="D143" i="2" s="1"/>
  <c r="F143" i="2" s="1"/>
  <c r="G142" i="2"/>
  <c r="E142" i="2"/>
  <c r="C142" i="2"/>
  <c r="B142" i="2"/>
  <c r="D142" i="2" s="1"/>
  <c r="F142" i="2" s="1"/>
  <c r="G141" i="2"/>
  <c r="E141" i="2"/>
  <c r="C141" i="2"/>
  <c r="B141" i="2"/>
  <c r="D141" i="2" s="1"/>
  <c r="F141" i="2" s="1"/>
  <c r="G140" i="2"/>
  <c r="E140" i="2"/>
  <c r="C140" i="2"/>
  <c r="B140" i="2"/>
  <c r="D140" i="2" s="1"/>
  <c r="F140" i="2" s="1"/>
  <c r="G139" i="2"/>
  <c r="E139" i="2"/>
  <c r="C139" i="2"/>
  <c r="B139" i="2"/>
  <c r="D139" i="2" s="1"/>
  <c r="F139" i="2" s="1"/>
  <c r="G138" i="2"/>
  <c r="E138" i="2"/>
  <c r="C138" i="2"/>
  <c r="B138" i="2"/>
  <c r="D138" i="2" s="1"/>
  <c r="F138" i="2" s="1"/>
  <c r="G137" i="2"/>
  <c r="E137" i="2"/>
  <c r="C137" i="2"/>
  <c r="B137" i="2"/>
  <c r="D137" i="2" s="1"/>
  <c r="F137" i="2" s="1"/>
  <c r="G136" i="2"/>
  <c r="E136" i="2"/>
  <c r="C136" i="2"/>
  <c r="B136" i="2"/>
  <c r="D136" i="2" s="1"/>
  <c r="F136" i="2" s="1"/>
  <c r="G135" i="2"/>
  <c r="E135" i="2"/>
  <c r="C135" i="2"/>
  <c r="B135" i="2"/>
  <c r="D135" i="2" s="1"/>
  <c r="F135" i="2" s="1"/>
  <c r="G134" i="2"/>
  <c r="E134" i="2"/>
  <c r="C134" i="2"/>
  <c r="B134" i="2"/>
  <c r="D134" i="2" s="1"/>
  <c r="F134" i="2" s="1"/>
  <c r="G133" i="2"/>
  <c r="E133" i="2"/>
  <c r="C133" i="2"/>
  <c r="B133" i="2"/>
  <c r="D133" i="2" s="1"/>
  <c r="F133" i="2" s="1"/>
  <c r="G132" i="2"/>
  <c r="E132" i="2"/>
  <c r="C132" i="2"/>
  <c r="B132" i="2"/>
  <c r="D132" i="2" s="1"/>
  <c r="F132" i="2" s="1"/>
  <c r="G131" i="2"/>
  <c r="E131" i="2"/>
  <c r="C131" i="2"/>
  <c r="B131" i="2"/>
  <c r="D131" i="2" s="1"/>
  <c r="F131" i="2" s="1"/>
  <c r="G130" i="2"/>
  <c r="E130" i="2"/>
  <c r="C130" i="2"/>
  <c r="B130" i="2"/>
  <c r="D130" i="2" s="1"/>
  <c r="F130" i="2" s="1"/>
  <c r="G129" i="2"/>
  <c r="E129" i="2"/>
  <c r="C129" i="2"/>
  <c r="B129" i="2"/>
  <c r="D129" i="2" s="1"/>
  <c r="F129" i="2" s="1"/>
  <c r="G128" i="2"/>
  <c r="E128" i="2"/>
  <c r="C128" i="2"/>
  <c r="B128" i="2"/>
  <c r="D128" i="2" s="1"/>
  <c r="F128" i="2" s="1"/>
  <c r="G127" i="2"/>
  <c r="E127" i="2"/>
  <c r="C127" i="2"/>
  <c r="B127" i="2"/>
  <c r="D127" i="2" s="1"/>
  <c r="F127" i="2" s="1"/>
  <c r="G126" i="2"/>
  <c r="E126" i="2"/>
  <c r="C126" i="2"/>
  <c r="B126" i="2"/>
  <c r="D126" i="2" s="1"/>
  <c r="F126" i="2" s="1"/>
  <c r="G125" i="2"/>
  <c r="E125" i="2"/>
  <c r="C125" i="2"/>
  <c r="B125" i="2"/>
  <c r="D125" i="2" s="1"/>
  <c r="F125" i="2" s="1"/>
  <c r="G124" i="2"/>
  <c r="E124" i="2"/>
  <c r="C124" i="2"/>
  <c r="B124" i="2"/>
  <c r="D124" i="2" s="1"/>
  <c r="F124" i="2" s="1"/>
  <c r="G123" i="2"/>
  <c r="E123" i="2"/>
  <c r="C123" i="2"/>
  <c r="B123" i="2"/>
  <c r="D123" i="2" s="1"/>
  <c r="F123" i="2" s="1"/>
  <c r="G122" i="2"/>
  <c r="E122" i="2"/>
  <c r="C122" i="2"/>
  <c r="B122" i="2"/>
  <c r="D122" i="2" s="1"/>
  <c r="F122" i="2" s="1"/>
  <c r="G121" i="2"/>
  <c r="E121" i="2"/>
  <c r="C121" i="2"/>
  <c r="B121" i="2"/>
  <c r="D121" i="2" s="1"/>
  <c r="F121" i="2" s="1"/>
  <c r="G120" i="2"/>
  <c r="E120" i="2"/>
  <c r="C120" i="2"/>
  <c r="B120" i="2"/>
  <c r="D120" i="2" s="1"/>
  <c r="F120" i="2" s="1"/>
  <c r="G119" i="2"/>
  <c r="E119" i="2"/>
  <c r="C119" i="2"/>
  <c r="B119" i="2"/>
  <c r="D119" i="2" s="1"/>
  <c r="F119" i="2" s="1"/>
  <c r="G118" i="2"/>
  <c r="E118" i="2"/>
  <c r="C118" i="2"/>
  <c r="B118" i="2"/>
  <c r="D118" i="2" s="1"/>
  <c r="F118" i="2" s="1"/>
  <c r="G117" i="2"/>
  <c r="E117" i="2"/>
  <c r="C117" i="2"/>
  <c r="B117" i="2"/>
  <c r="D117" i="2" s="1"/>
  <c r="F117" i="2" s="1"/>
  <c r="G116" i="2"/>
  <c r="E116" i="2"/>
  <c r="C116" i="2"/>
  <c r="B116" i="2"/>
  <c r="D116" i="2" s="1"/>
  <c r="F116" i="2" s="1"/>
  <c r="G115" i="2"/>
  <c r="E115" i="2"/>
  <c r="C115" i="2"/>
  <c r="B115" i="2"/>
  <c r="D115" i="2" s="1"/>
  <c r="F115" i="2" s="1"/>
  <c r="G114" i="2"/>
  <c r="E114" i="2"/>
  <c r="C114" i="2"/>
  <c r="B114" i="2"/>
  <c r="D114" i="2" s="1"/>
  <c r="F114" i="2" s="1"/>
  <c r="G113" i="2"/>
  <c r="E113" i="2"/>
  <c r="C113" i="2"/>
  <c r="B113" i="2"/>
  <c r="D113" i="2" s="1"/>
  <c r="F113" i="2" s="1"/>
  <c r="G112" i="2"/>
  <c r="E112" i="2"/>
  <c r="C112" i="2"/>
  <c r="B112" i="2"/>
  <c r="D112" i="2" s="1"/>
  <c r="F112" i="2" s="1"/>
  <c r="G111" i="2"/>
  <c r="E111" i="2"/>
  <c r="C111" i="2"/>
  <c r="B111" i="2"/>
  <c r="D111" i="2" s="1"/>
  <c r="F111" i="2" s="1"/>
  <c r="G110" i="2"/>
  <c r="E110" i="2"/>
  <c r="C110" i="2"/>
  <c r="B110" i="2"/>
  <c r="D110" i="2" s="1"/>
  <c r="F110" i="2" s="1"/>
  <c r="G109" i="2"/>
  <c r="E109" i="2"/>
  <c r="C109" i="2"/>
  <c r="B109" i="2"/>
  <c r="D109" i="2" s="1"/>
  <c r="F109" i="2" s="1"/>
  <c r="G108" i="2"/>
  <c r="E108" i="2"/>
  <c r="C108" i="2"/>
  <c r="B108" i="2"/>
  <c r="D108" i="2" s="1"/>
  <c r="F108" i="2" s="1"/>
  <c r="G107" i="2"/>
  <c r="E107" i="2"/>
  <c r="C107" i="2"/>
  <c r="B107" i="2"/>
  <c r="D107" i="2" s="1"/>
  <c r="F107" i="2" s="1"/>
  <c r="G106" i="2"/>
  <c r="E106" i="2"/>
  <c r="C106" i="2"/>
  <c r="B106" i="2"/>
  <c r="D106" i="2" s="1"/>
  <c r="F106" i="2" s="1"/>
  <c r="G105" i="2"/>
  <c r="E105" i="2"/>
  <c r="C105" i="2"/>
  <c r="B105" i="2"/>
  <c r="D105" i="2" s="1"/>
  <c r="F105" i="2" s="1"/>
  <c r="G104" i="2"/>
  <c r="E104" i="2"/>
  <c r="C104" i="2"/>
  <c r="B104" i="2"/>
  <c r="D104" i="2" s="1"/>
  <c r="F104" i="2" s="1"/>
  <c r="G103" i="2"/>
  <c r="E103" i="2"/>
  <c r="C103" i="2"/>
  <c r="B103" i="2"/>
  <c r="D103" i="2" s="1"/>
  <c r="F103" i="2" s="1"/>
  <c r="G102" i="2"/>
  <c r="E102" i="2"/>
  <c r="C102" i="2"/>
  <c r="B102" i="2"/>
  <c r="D102" i="2" s="1"/>
  <c r="F102" i="2" s="1"/>
  <c r="G101" i="2"/>
  <c r="E101" i="2"/>
  <c r="C101" i="2"/>
  <c r="B101" i="2"/>
  <c r="D101" i="2" s="1"/>
  <c r="F101" i="2" s="1"/>
  <c r="G100" i="2"/>
  <c r="E100" i="2"/>
  <c r="C100" i="2"/>
  <c r="B100" i="2"/>
  <c r="D100" i="2" s="1"/>
  <c r="F100" i="2" s="1"/>
  <c r="G99" i="2"/>
  <c r="E99" i="2"/>
  <c r="C99" i="2"/>
  <c r="B99" i="2"/>
  <c r="D99" i="2" s="1"/>
  <c r="F99" i="2" s="1"/>
  <c r="G98" i="2"/>
  <c r="E98" i="2"/>
  <c r="C98" i="2"/>
  <c r="B98" i="2"/>
  <c r="D98" i="2" s="1"/>
  <c r="F98" i="2" s="1"/>
  <c r="G97" i="2"/>
  <c r="E97" i="2"/>
  <c r="C97" i="2"/>
  <c r="B97" i="2"/>
  <c r="D97" i="2" s="1"/>
  <c r="F97" i="2" s="1"/>
  <c r="G96" i="2"/>
  <c r="E96" i="2"/>
  <c r="C96" i="2"/>
  <c r="B96" i="2"/>
  <c r="D96" i="2" s="1"/>
  <c r="F96" i="2" s="1"/>
  <c r="G95" i="2"/>
  <c r="E95" i="2"/>
  <c r="C95" i="2"/>
  <c r="B95" i="2"/>
  <c r="D95" i="2" s="1"/>
  <c r="F95" i="2" s="1"/>
  <c r="G94" i="2"/>
  <c r="E94" i="2"/>
  <c r="C94" i="2"/>
  <c r="B94" i="2"/>
  <c r="D94" i="2" s="1"/>
  <c r="F94" i="2" s="1"/>
  <c r="G93" i="2"/>
  <c r="E93" i="2"/>
  <c r="C93" i="2"/>
  <c r="B93" i="2"/>
  <c r="D93" i="2" s="1"/>
  <c r="F93" i="2" s="1"/>
  <c r="G92" i="2"/>
  <c r="E92" i="2"/>
  <c r="C92" i="2"/>
  <c r="B92" i="2"/>
  <c r="D92" i="2" s="1"/>
  <c r="F92" i="2" s="1"/>
  <c r="G91" i="2"/>
  <c r="E91" i="2"/>
  <c r="C91" i="2"/>
  <c r="B91" i="2"/>
  <c r="D91" i="2" s="1"/>
  <c r="F91" i="2" s="1"/>
  <c r="G90" i="2"/>
  <c r="E90" i="2"/>
  <c r="C90" i="2"/>
  <c r="B90" i="2"/>
  <c r="D90" i="2" s="1"/>
  <c r="F90" i="2" s="1"/>
  <c r="G89" i="2"/>
  <c r="E89" i="2"/>
  <c r="C89" i="2"/>
  <c r="B89" i="2"/>
  <c r="D89" i="2" s="1"/>
  <c r="F89" i="2" s="1"/>
  <c r="G88" i="2"/>
  <c r="E88" i="2"/>
  <c r="C88" i="2"/>
  <c r="B88" i="2"/>
  <c r="D88" i="2" s="1"/>
  <c r="F88" i="2" s="1"/>
  <c r="G87" i="2"/>
  <c r="E87" i="2"/>
  <c r="C87" i="2"/>
  <c r="B87" i="2"/>
  <c r="D87" i="2" s="1"/>
  <c r="F87" i="2" s="1"/>
  <c r="G86" i="2"/>
  <c r="E86" i="2"/>
  <c r="C86" i="2"/>
  <c r="B86" i="2"/>
  <c r="D86" i="2" s="1"/>
  <c r="F86" i="2" s="1"/>
  <c r="G85" i="2"/>
  <c r="E85" i="2"/>
  <c r="C85" i="2"/>
  <c r="B85" i="2"/>
  <c r="D85" i="2" s="1"/>
  <c r="F85" i="2" s="1"/>
  <c r="G84" i="2"/>
  <c r="E84" i="2"/>
  <c r="C84" i="2"/>
  <c r="B84" i="2"/>
  <c r="D84" i="2" s="1"/>
  <c r="F84" i="2" s="1"/>
  <c r="G83" i="2"/>
  <c r="E83" i="2"/>
  <c r="C83" i="2"/>
  <c r="B83" i="2"/>
  <c r="D83" i="2" s="1"/>
  <c r="F83" i="2" s="1"/>
  <c r="G82" i="2"/>
  <c r="E82" i="2"/>
  <c r="C82" i="2"/>
  <c r="B82" i="2"/>
  <c r="D82" i="2" s="1"/>
  <c r="F82" i="2" s="1"/>
  <c r="G81" i="2"/>
  <c r="E81" i="2"/>
  <c r="C81" i="2"/>
  <c r="B81" i="2"/>
  <c r="D81" i="2" s="1"/>
  <c r="F81" i="2" s="1"/>
  <c r="G80" i="2"/>
  <c r="E80" i="2"/>
  <c r="C80" i="2"/>
  <c r="B80" i="2"/>
  <c r="D80" i="2" s="1"/>
  <c r="F80" i="2" s="1"/>
  <c r="G79" i="2"/>
  <c r="E79" i="2"/>
  <c r="C79" i="2"/>
  <c r="B79" i="2"/>
  <c r="D79" i="2" s="1"/>
  <c r="F79" i="2" s="1"/>
  <c r="G78" i="2"/>
  <c r="E78" i="2"/>
  <c r="C78" i="2"/>
  <c r="B78" i="2"/>
  <c r="D78" i="2" s="1"/>
  <c r="F78" i="2" s="1"/>
  <c r="G77" i="2"/>
  <c r="E77" i="2"/>
  <c r="C77" i="2"/>
  <c r="B77" i="2"/>
  <c r="D77" i="2" s="1"/>
  <c r="F77" i="2" s="1"/>
  <c r="G76" i="2"/>
  <c r="E76" i="2"/>
  <c r="C76" i="2"/>
  <c r="B76" i="2"/>
  <c r="D76" i="2" s="1"/>
  <c r="F76" i="2" s="1"/>
  <c r="G75" i="2"/>
  <c r="E75" i="2"/>
  <c r="C75" i="2"/>
  <c r="B75" i="2"/>
  <c r="D75" i="2" s="1"/>
  <c r="F75" i="2" s="1"/>
  <c r="G74" i="2"/>
  <c r="E74" i="2"/>
  <c r="C74" i="2"/>
  <c r="B74" i="2"/>
  <c r="D74" i="2" s="1"/>
  <c r="F74" i="2" s="1"/>
  <c r="G73" i="2"/>
  <c r="E73" i="2"/>
  <c r="C73" i="2"/>
  <c r="B73" i="2"/>
  <c r="D73" i="2" s="1"/>
  <c r="F73" i="2" s="1"/>
  <c r="G72" i="2"/>
  <c r="E72" i="2"/>
  <c r="C72" i="2"/>
  <c r="B72" i="2"/>
  <c r="D72" i="2" s="1"/>
  <c r="F72" i="2" s="1"/>
  <c r="G71" i="2"/>
  <c r="E71" i="2"/>
  <c r="C71" i="2"/>
  <c r="B71" i="2"/>
  <c r="D71" i="2" s="1"/>
  <c r="F71" i="2" s="1"/>
  <c r="G70" i="2"/>
  <c r="E70" i="2"/>
  <c r="C70" i="2"/>
  <c r="B70" i="2"/>
  <c r="D70" i="2" s="1"/>
  <c r="F70" i="2" s="1"/>
  <c r="G69" i="2"/>
  <c r="E69" i="2"/>
  <c r="C69" i="2"/>
  <c r="B69" i="2"/>
  <c r="D69" i="2" s="1"/>
  <c r="F69" i="2" s="1"/>
  <c r="G68" i="2"/>
  <c r="E68" i="2"/>
  <c r="C68" i="2"/>
  <c r="B68" i="2"/>
  <c r="D68" i="2" s="1"/>
  <c r="F68" i="2" s="1"/>
  <c r="G67" i="2"/>
  <c r="E67" i="2"/>
  <c r="C67" i="2"/>
  <c r="B67" i="2"/>
  <c r="D67" i="2" s="1"/>
  <c r="F67" i="2" s="1"/>
  <c r="G66" i="2"/>
  <c r="E66" i="2"/>
  <c r="C66" i="2"/>
  <c r="B66" i="2"/>
  <c r="D66" i="2" s="1"/>
  <c r="F66" i="2" s="1"/>
  <c r="G65" i="2"/>
  <c r="E65" i="2"/>
  <c r="C65" i="2"/>
  <c r="B65" i="2"/>
  <c r="D65" i="2" s="1"/>
  <c r="F65" i="2" s="1"/>
  <c r="G64" i="2"/>
  <c r="E64" i="2"/>
  <c r="C64" i="2"/>
  <c r="B64" i="2"/>
  <c r="D64" i="2" s="1"/>
  <c r="F64" i="2" s="1"/>
  <c r="G63" i="2"/>
  <c r="E63" i="2"/>
  <c r="C63" i="2"/>
  <c r="B63" i="2"/>
  <c r="D63" i="2" s="1"/>
  <c r="F63" i="2" s="1"/>
  <c r="G62" i="2"/>
  <c r="E62" i="2"/>
  <c r="C62" i="2"/>
  <c r="B62" i="2"/>
  <c r="D62" i="2" s="1"/>
  <c r="F62" i="2" s="1"/>
  <c r="G61" i="2"/>
  <c r="E61" i="2"/>
  <c r="C61" i="2"/>
  <c r="B61" i="2"/>
  <c r="D61" i="2" s="1"/>
  <c r="F61" i="2" s="1"/>
  <c r="G60" i="2"/>
  <c r="E60" i="2"/>
  <c r="C60" i="2"/>
  <c r="B60" i="2"/>
  <c r="D60" i="2" s="1"/>
  <c r="F60" i="2" s="1"/>
  <c r="G59" i="2"/>
  <c r="E59" i="2"/>
  <c r="C59" i="2"/>
  <c r="B59" i="2"/>
  <c r="D59" i="2" s="1"/>
  <c r="F59" i="2" s="1"/>
  <c r="G58" i="2"/>
  <c r="E58" i="2"/>
  <c r="C58" i="2"/>
  <c r="B58" i="2"/>
  <c r="D58" i="2" s="1"/>
  <c r="F58" i="2" s="1"/>
  <c r="G57" i="2"/>
  <c r="E57" i="2"/>
  <c r="C57" i="2"/>
  <c r="B57" i="2"/>
  <c r="D57" i="2" s="1"/>
  <c r="F57" i="2" s="1"/>
  <c r="G56" i="2"/>
  <c r="E56" i="2"/>
  <c r="C56" i="2"/>
  <c r="B56" i="2"/>
  <c r="D56" i="2" s="1"/>
  <c r="F56" i="2" s="1"/>
  <c r="G55" i="2"/>
  <c r="E55" i="2"/>
  <c r="C55" i="2"/>
  <c r="B55" i="2"/>
  <c r="D55" i="2" s="1"/>
  <c r="F55" i="2" s="1"/>
  <c r="G54" i="2"/>
  <c r="E54" i="2"/>
  <c r="C54" i="2"/>
  <c r="B54" i="2"/>
  <c r="D54" i="2" s="1"/>
  <c r="F54" i="2" s="1"/>
  <c r="G53" i="2"/>
  <c r="E53" i="2"/>
  <c r="C53" i="2"/>
  <c r="B53" i="2"/>
  <c r="D53" i="2" s="1"/>
  <c r="F53" i="2" s="1"/>
  <c r="G52" i="2"/>
  <c r="E52" i="2"/>
  <c r="C52" i="2"/>
  <c r="B52" i="2"/>
  <c r="D52" i="2" s="1"/>
  <c r="F52" i="2" s="1"/>
  <c r="G51" i="2"/>
  <c r="E51" i="2"/>
  <c r="C51" i="2"/>
  <c r="B51" i="2"/>
  <c r="D51" i="2" s="1"/>
  <c r="F51" i="2" s="1"/>
  <c r="G50" i="2"/>
  <c r="E50" i="2"/>
  <c r="C50" i="2"/>
  <c r="B50" i="2"/>
  <c r="D50" i="2" s="1"/>
  <c r="F50" i="2" s="1"/>
  <c r="G49" i="2"/>
  <c r="E49" i="2"/>
  <c r="C49" i="2"/>
  <c r="B49" i="2"/>
  <c r="D49" i="2" s="1"/>
  <c r="F49" i="2" s="1"/>
  <c r="G48" i="2"/>
  <c r="E48" i="2"/>
  <c r="C48" i="2"/>
  <c r="B48" i="2"/>
  <c r="D48" i="2" s="1"/>
  <c r="F48" i="2" s="1"/>
  <c r="G47" i="2"/>
  <c r="E47" i="2"/>
  <c r="C47" i="2"/>
  <c r="B47" i="2"/>
  <c r="D47" i="2" s="1"/>
  <c r="F47" i="2" s="1"/>
  <c r="G46" i="2"/>
  <c r="E46" i="2"/>
  <c r="C46" i="2"/>
  <c r="B46" i="2"/>
  <c r="D46" i="2" s="1"/>
  <c r="F46" i="2" s="1"/>
  <c r="G45" i="2"/>
  <c r="E45" i="2"/>
  <c r="C45" i="2"/>
  <c r="B45" i="2"/>
  <c r="D45" i="2" s="1"/>
  <c r="F45" i="2" s="1"/>
  <c r="G44" i="2"/>
  <c r="E44" i="2"/>
  <c r="C44" i="2"/>
  <c r="B44" i="2"/>
  <c r="D44" i="2" s="1"/>
  <c r="F44" i="2" s="1"/>
  <c r="G43" i="2"/>
  <c r="E43" i="2"/>
  <c r="C43" i="2"/>
  <c r="B43" i="2"/>
  <c r="D43" i="2" s="1"/>
  <c r="F43" i="2" s="1"/>
  <c r="G42" i="2"/>
  <c r="E42" i="2"/>
  <c r="C42" i="2"/>
  <c r="B42" i="2"/>
  <c r="D42" i="2" s="1"/>
  <c r="F42" i="2" s="1"/>
  <c r="G41" i="2"/>
  <c r="E41" i="2"/>
  <c r="C41" i="2"/>
  <c r="B41" i="2"/>
  <c r="D41" i="2" s="1"/>
  <c r="F41" i="2" s="1"/>
  <c r="G40" i="2"/>
  <c r="E40" i="2"/>
  <c r="C40" i="2"/>
  <c r="B40" i="2"/>
  <c r="D40" i="2" s="1"/>
  <c r="F40" i="2" s="1"/>
  <c r="G39" i="2"/>
  <c r="E39" i="2"/>
  <c r="C39" i="2"/>
  <c r="B39" i="2"/>
  <c r="D39" i="2" s="1"/>
  <c r="F39" i="2" s="1"/>
  <c r="G38" i="2"/>
  <c r="E38" i="2"/>
  <c r="C38" i="2"/>
  <c r="B38" i="2"/>
  <c r="D38" i="2" s="1"/>
  <c r="F38" i="2" s="1"/>
  <c r="G37" i="2"/>
  <c r="E37" i="2"/>
  <c r="C37" i="2"/>
  <c r="B37" i="2"/>
  <c r="D37" i="2" s="1"/>
  <c r="F37" i="2" s="1"/>
  <c r="G36" i="2"/>
  <c r="E36" i="2"/>
  <c r="C36" i="2"/>
  <c r="B36" i="2"/>
  <c r="D36" i="2" s="1"/>
  <c r="F36" i="2" s="1"/>
  <c r="G35" i="2"/>
  <c r="E35" i="2"/>
  <c r="C35" i="2"/>
  <c r="B35" i="2"/>
  <c r="D35" i="2" s="1"/>
  <c r="F35" i="2" s="1"/>
  <c r="G34" i="2"/>
  <c r="E34" i="2"/>
  <c r="C34" i="2"/>
  <c r="B34" i="2"/>
  <c r="D34" i="2" s="1"/>
  <c r="F34" i="2" s="1"/>
  <c r="G33" i="2"/>
  <c r="E33" i="2"/>
  <c r="C33" i="2"/>
  <c r="B33" i="2"/>
  <c r="D33" i="2" s="1"/>
  <c r="F33" i="2" s="1"/>
  <c r="G32" i="2"/>
  <c r="E32" i="2"/>
  <c r="C32" i="2"/>
  <c r="B32" i="2"/>
  <c r="D32" i="2" s="1"/>
  <c r="F32" i="2" s="1"/>
  <c r="G31" i="2"/>
  <c r="E31" i="2"/>
  <c r="C31" i="2"/>
  <c r="B31" i="2"/>
  <c r="D31" i="2" s="1"/>
  <c r="F31" i="2" s="1"/>
  <c r="G30" i="2"/>
  <c r="E30" i="2"/>
  <c r="C30" i="2"/>
  <c r="B30" i="2"/>
  <c r="D30" i="2" s="1"/>
  <c r="F30" i="2" s="1"/>
  <c r="G29" i="2"/>
  <c r="E29" i="2"/>
  <c r="C29" i="2"/>
  <c r="B29" i="2"/>
  <c r="D29" i="2" s="1"/>
  <c r="F29" i="2" s="1"/>
  <c r="G28" i="2"/>
  <c r="E28" i="2"/>
  <c r="C28" i="2"/>
  <c r="B28" i="2"/>
  <c r="D28" i="2" s="1"/>
  <c r="F28" i="2" s="1"/>
  <c r="G27" i="2"/>
  <c r="E27" i="2"/>
  <c r="C27" i="2"/>
  <c r="B27" i="2"/>
  <c r="D27" i="2" s="1"/>
  <c r="F27" i="2" s="1"/>
  <c r="G26" i="2"/>
  <c r="E26" i="2"/>
  <c r="C26" i="2"/>
  <c r="B26" i="2"/>
  <c r="D26" i="2" s="1"/>
  <c r="F26" i="2" s="1"/>
  <c r="G25" i="2"/>
  <c r="E25" i="2"/>
  <c r="C25" i="2"/>
  <c r="B25" i="2"/>
  <c r="D25" i="2" s="1"/>
  <c r="F25" i="2" s="1"/>
  <c r="G24" i="2"/>
  <c r="E24" i="2"/>
  <c r="C24" i="2"/>
  <c r="B24" i="2"/>
  <c r="D24" i="2" s="1"/>
  <c r="F24" i="2" s="1"/>
  <c r="G23" i="2"/>
  <c r="E23" i="2"/>
  <c r="C23" i="2"/>
  <c r="B23" i="2"/>
  <c r="D23" i="2" s="1"/>
  <c r="F23" i="2" s="1"/>
  <c r="G22" i="2"/>
  <c r="E22" i="2"/>
  <c r="C22" i="2"/>
  <c r="B22" i="2"/>
  <c r="D22" i="2" s="1"/>
  <c r="F22" i="2" s="1"/>
  <c r="G21" i="2"/>
  <c r="E21" i="2"/>
  <c r="C21" i="2"/>
  <c r="B21" i="2"/>
  <c r="D21" i="2" s="1"/>
  <c r="F21" i="2" s="1"/>
  <c r="G20" i="2"/>
  <c r="E20" i="2"/>
  <c r="C20" i="2"/>
  <c r="B20" i="2"/>
  <c r="D20" i="2" s="1"/>
  <c r="F20" i="2" s="1"/>
  <c r="G19" i="2"/>
  <c r="E19" i="2"/>
  <c r="C19" i="2"/>
  <c r="B19" i="2"/>
  <c r="D19" i="2" s="1"/>
  <c r="F19" i="2" s="1"/>
  <c r="G18" i="2"/>
  <c r="E18" i="2"/>
  <c r="C18" i="2"/>
  <c r="B18" i="2"/>
  <c r="D18" i="2" s="1"/>
  <c r="F18" i="2" s="1"/>
  <c r="G17" i="2"/>
  <c r="E17" i="2"/>
  <c r="C17" i="2"/>
  <c r="B17" i="2"/>
  <c r="D17" i="2" s="1"/>
  <c r="F17" i="2" s="1"/>
  <c r="G16" i="2"/>
  <c r="E16" i="2"/>
  <c r="C16" i="2"/>
  <c r="B16" i="2"/>
  <c r="D16" i="2" s="1"/>
  <c r="F16" i="2" s="1"/>
  <c r="G15" i="2"/>
  <c r="E15" i="2"/>
  <c r="C15" i="2"/>
  <c r="B15" i="2"/>
  <c r="D15" i="2" s="1"/>
  <c r="F15" i="2" s="1"/>
  <c r="G14" i="2"/>
  <c r="E14" i="2"/>
  <c r="C14" i="2"/>
  <c r="B14" i="2"/>
  <c r="D14" i="2" s="1"/>
  <c r="F14" i="2" s="1"/>
  <c r="G13" i="2"/>
  <c r="E13" i="2"/>
  <c r="C13" i="2"/>
  <c r="B13" i="2"/>
  <c r="D13" i="2" s="1"/>
  <c r="F13" i="2" s="1"/>
  <c r="G12" i="2"/>
  <c r="E12" i="2"/>
  <c r="C12" i="2"/>
  <c r="B12" i="2"/>
  <c r="D12" i="2" s="1"/>
  <c r="F12" i="2" s="1"/>
  <c r="G11" i="2"/>
  <c r="E11" i="2"/>
  <c r="C11" i="2"/>
  <c r="B11" i="2"/>
  <c r="D11" i="2" s="1"/>
  <c r="F11" i="2" s="1"/>
  <c r="G10" i="2"/>
  <c r="E10" i="2"/>
  <c r="C10" i="2"/>
  <c r="B10" i="2"/>
  <c r="D10" i="2" s="1"/>
  <c r="F10" i="2" s="1"/>
  <c r="G9" i="2"/>
  <c r="E9" i="2"/>
  <c r="C9" i="2"/>
  <c r="B9" i="2"/>
  <c r="D9" i="2" s="1"/>
  <c r="F9" i="2" s="1"/>
  <c r="G8" i="2"/>
  <c r="E8" i="2"/>
  <c r="C8" i="2"/>
  <c r="B8" i="2"/>
  <c r="D8" i="2" s="1"/>
  <c r="F8" i="2" s="1"/>
  <c r="G7" i="2"/>
  <c r="E7" i="2"/>
  <c r="C7" i="2"/>
  <c r="B7" i="2"/>
  <c r="D7" i="2" s="1"/>
  <c r="F7" i="2" s="1"/>
  <c r="G6" i="2"/>
  <c r="E6" i="2"/>
  <c r="C6" i="2"/>
  <c r="B6" i="2"/>
  <c r="D6" i="2" s="1"/>
  <c r="F6" i="2" s="1"/>
  <c r="G5" i="2"/>
  <c r="E5" i="2"/>
  <c r="C5" i="2"/>
  <c r="B5" i="2"/>
  <c r="D5" i="2" s="1"/>
  <c r="F5" i="2" s="1"/>
  <c r="G4" i="2"/>
  <c r="E4" i="2"/>
  <c r="C4" i="2"/>
  <c r="B4" i="2"/>
  <c r="D4" i="2" s="1"/>
  <c r="F4" i="2" s="1"/>
  <c r="G3" i="2"/>
  <c r="E3" i="2"/>
  <c r="C3" i="2"/>
  <c r="B3" i="2"/>
  <c r="D3" i="2" s="1"/>
  <c r="F3" i="2" s="1"/>
  <c r="G2" i="2"/>
  <c r="E2" i="2"/>
  <c r="C2" i="2"/>
  <c r="B2" i="2"/>
  <c r="D2" i="2" s="1"/>
  <c r="F2" i="2" s="1"/>
</calcChain>
</file>

<file path=xl/sharedStrings.xml><?xml version="1.0" encoding="utf-8"?>
<sst xmlns="http://schemas.openxmlformats.org/spreadsheetml/2006/main" count="207" uniqueCount="207">
  <si>
    <t>loan_id</t>
  </si>
  <si>
    <t>risk_weight</t>
  </si>
  <si>
    <t>stuctural_risk</t>
  </si>
  <si>
    <t>total_risk_M03</t>
  </si>
  <si>
    <t>total_risk_M02</t>
  </si>
  <si>
    <t>risk_change</t>
  </si>
  <si>
    <t>loan_size_band</t>
  </si>
  <si>
    <t>L093</t>
  </si>
  <si>
    <t>L094</t>
  </si>
  <si>
    <t>L095</t>
  </si>
  <si>
    <t>L096</t>
  </si>
  <si>
    <t>L097</t>
  </si>
  <si>
    <t>L098</t>
  </si>
  <si>
    <t>L099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</si>
  <si>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</si>
  <si>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</si>
  <si>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</si>
  <si>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</si>
  <si>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</si>
  <si>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</si>
  <si>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</si>
  <si>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</si>
  <si>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</si>
  <si>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</si>
  <si>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</si>
  <si>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</si>
  <si>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</si>
  <si>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</si>
  <si>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</si>
  <si>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</si>
  <si>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</si>
  <si>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L118</t>
  </si>
  <si>
    <t>L119</t>
  </si>
  <si>
    <t>L120</t>
  </si>
  <si>
    <t>L121</t>
  </si>
  <si>
    <t>L125</t>
  </si>
  <si>
    <t>L126</t>
  </si>
  <si>
    <t>L127</t>
  </si>
  <si>
    <t>L128</t>
  </si>
  <si>
    <t>L129</t>
  </si>
  <si>
    <t>L130</t>
  </si>
  <si>
    <t>L002</t>
  </si>
  <si>
    <t>L003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</si>
  <si>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</si>
  <si>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</si>
  <si>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</si>
  <si>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</si>
  <si>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</si>
  <si>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</si>
  <si>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</si>
  <si>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</si>
  <si>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</si>
  <si>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L041</t>
  </si>
  <si>
    <t>L143</t>
  </si>
  <si>
    <t>L163</t>
  </si>
  <si>
    <t>L164</t>
  </si>
  <si>
    <t>L165</t>
  </si>
  <si>
    <t>L166</t>
  </si>
  <si>
    <t>L167</t>
  </si>
  <si>
    <t>L168</t>
  </si>
  <si>
    <t>L169</t>
  </si>
  <si>
    <t>L170</t>
  </si>
  <si>
    <t>L171</t>
  </si>
  <si>
    <t>L172</t>
  </si>
  <si>
    <t>L173</t>
  </si>
  <si>
    <t>L174</t>
  </si>
  <si>
    <t>L175</t>
  </si>
  <si>
    <t>L176</t>
  </si>
  <si>
    <t>L177</t>
  </si>
  <si>
    <t>L178</t>
  </si>
  <si>
    <t>L179</t>
  </si>
  <si>
    <t>L180</t>
  </si>
  <si>
    <t>L158</t>
  </si>
  <si>
    <t>L161</t>
  </si>
  <si>
    <t>L042</t>
  </si>
  <si>
    <t>L043</t>
  </si>
  <si>
    <t>L044</t>
  </si>
  <si>
    <t>L045</t>
  </si>
  <si>
    <t>L046</t>
  </si>
  <si>
    <t>L047</t>
  </si>
  <si>
    <t>L048</t>
  </si>
  <si>
    <t>L049</t>
  </si>
  <si>
    <t>L051</t>
  </si>
  <si>
    <t>L053</t>
  </si>
  <si>
    <t>L054</t>
  </si>
  <si>
    <t>L055</t>
  </si>
  <si>
    <t>L056</t>
  </si>
  <si>
    <t>L057</t>
  </si>
  <si>
    <t>L058</t>
  </si>
  <si>
    <t>L059</t>
  </si>
  <si>
    <t>L014</t>
  </si>
  <si>
    <t>L015</t>
  </si>
  <si>
    <t>L016</t>
  </si>
  <si>
    <t>L017</t>
  </si>
  <si>
    <t>L018</t>
  </si>
  <si>
    <t>L019</t>
  </si>
  <si>
    <t>L020</t>
  </si>
  <si>
    <t>L022</t>
  </si>
  <si>
    <t>L023</t>
  </si>
  <si>
    <t>L024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</si>
  <si>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</si>
  <si>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</si>
  <si>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</si>
  <si>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</si>
  <si>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</si>
  <si>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</si>
  <si>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</si>
  <si>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</si>
  <si>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</si>
  <si>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</si>
  <si>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</si>
  <si>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</si>
  <si>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</si>
  <si>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</si>
  <si>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L060</t>
  </si>
  <si>
    <t>L061</t>
  </si>
  <si>
    <t>L062</t>
  </si>
  <si>
    <t>L063</t>
  </si>
  <si>
    <t>L064</t>
  </si>
  <si>
    <t>L066</t>
  </si>
  <si>
    <t>L067</t>
  </si>
  <si>
    <t>L068</t>
  </si>
  <si>
    <t>L117</t>
  </si>
  <si>
    <t>L122</t>
  </si>
  <si>
    <t>L123</t>
  </si>
  <si>
    <t>L124</t>
  </si>
  <si>
    <t>L001</t>
  </si>
  <si>
    <t>L050</t>
  </si>
  <si>
    <t>L052</t>
  </si>
  <si>
    <t>L021</t>
  </si>
  <si>
    <t>L025</t>
  </si>
  <si>
    <t>L040</t>
  </si>
  <si>
    <t>L065</t>
  </si>
  <si>
    <t>L087</t>
  </si>
  <si>
    <t>L004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</si>
  <si>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</si>
  <si>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</si>
  <si>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</si>
  <si>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</si>
  <si>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</si>
  <si>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</si>
  <si>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</si>
  <si>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</si>
  <si>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</si>
  <si>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</si>
  <si>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</si>
  <si>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</si>
  <si>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</si>
  <si>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</si>
  <si>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</si>
  <si>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</si>
  <si>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L085</t>
  </si>
  <si>
    <t>L086</t>
  </si>
  <si>
    <t>L088</t>
  </si>
  <si>
    <t>L089</t>
  </si>
  <si>
    <t>L090</t>
  </si>
  <si>
    <t>L091</t>
  </si>
  <si>
    <t>L092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</si>
  <si>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</si>
  <si>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</si>
  <si>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</si>
  <si>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</si>
  <si>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</si>
  <si>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</si>
  <si>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</si>
  <si>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</si>
  <si>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</si>
  <si>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L141</t>
  </si>
  <si>
    <t>L182</t>
  </si>
  <si>
    <t>L196</t>
  </si>
  <si>
    <t>L181</t>
  </si>
  <si>
    <t>L183</t>
  </si>
  <si>
    <t>L184</t>
  </si>
  <si>
    <t>L185</t>
  </si>
  <si>
    <t>L186</t>
  </si>
  <si>
    <t>L187</t>
  </si>
  <si>
    <t>L188</t>
  </si>
  <si>
    <t>L189</t>
  </si>
  <si>
    <t>L190</t>
  </si>
  <si>
    <t>L191</t>
  </si>
  <si>
    <t>L192</t>
  </si>
  <si>
    <t>L193</t>
  </si>
  <si>
    <t>L194</t>
  </si>
  <si>
    <t>L195</t>
  </si>
  <si>
    <t>L197</t>
  </si>
  <si>
    <t>L198</t>
  </si>
  <si>
    <t>L142</t>
  </si>
  <si>
    <t>L144</t>
  </si>
  <si>
    <t>L145</t>
  </si>
  <si>
    <t>L146</t>
  </si>
  <si>
    <t>L147</t>
  </si>
  <si>
    <t>L148</t>
  </si>
  <si>
    <t>L149</t>
  </si>
  <si>
    <t>L150</t>
  </si>
  <si>
    <t>L151</t>
  </si>
  <si>
    <t>L152</t>
  </si>
  <si>
    <t>L153</t>
  </si>
  <si>
    <t>L154</t>
  </si>
  <si>
    <t>L155</t>
  </si>
  <si>
    <t>L156</t>
  </si>
  <si>
    <t>L157</t>
  </si>
  <si>
    <t>L159</t>
  </si>
  <si>
    <t>L160</t>
  </si>
  <si>
    <t>L162</t>
  </si>
  <si>
    <t>L131</t>
  </si>
  <si>
    <t>L199</t>
  </si>
  <si>
    <t>L200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</si>
</sst>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PRIME.SHOP\Documents\Sacco_Credit_Analysis_Month2.xlsx" TargetMode="External"/><Relationship Id="rId1" Type="http://schemas.openxmlformats.org/officeDocument/2006/relationships/externalLinkPath" Target="/Users/DEPRIME.SHOP/Documents/Sacco_Credit_Analysis_Month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isk_Summary_M03 (2)"/>
      <sheetName val="Risk_Summary_M03"/>
      <sheetName val="Members"/>
      <sheetName val="Loans"/>
      <sheetName val="Repayment"/>
      <sheetName val="Risk_Summary"/>
      <sheetName val="Repayment_M0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9F8B43-E89E-4E81-9235-937CD0A3E0C2}" name="Summary38" displayName="Summary38" ref="A1:G202" totalsRowShown="0">
  <autoFilter ref="A1:G202" xr:uid="{A9B1DC04-5E7D-4AC7-9569-80C0BB0D2988}">
    <filterColumn colId="5">
      <filters>
        <filter val="0.00"/>
        <filter val="0.50"/>
        <filter val="-0.50"/>
      </filters>
    </filterColumn>
  </autoFilter>
  <sortState xmlns:xlrd2="http://schemas.microsoft.com/office/spreadsheetml/2017/richdata2" ref="A2:G201">
    <sortCondition descending="1" ref="F2:F202"/>
  </sortState>
  <tableColumns count="7">
    <tableColumn id="1" xr3:uid="{43BC0526-AB7B-4F1E-9EF6-3177D6EAAF69}" name="loan_id"/>
    <tableColumn id="2" xr3:uid="{B18DAAD6-62E3-450D-8625-AAD6E1339988}" name="risk_weight" dataDxfId="5">
      <calculatedColumnFormula>IF([1]!Repayment3[[#This Row],[payment_status]]="Full",0,IF([1]!Repayment3[[#This Row],[payment_status]]="Partial",0.5,1))</calculatedColumnFormula>
    </tableColumn>
    <tableColumn id="3" xr3:uid="{C64E638D-9802-4A6E-9559-769E17208FB1}" name="stuctural_risk" dataDxfId="4">
      <calculatedColumnFormula>_xlfn.XLOOKUP(Summary38[[#This Row],[loan_id]],[1]!Loans[loan_id],[1]!Loans[structural_risk])</calculatedColumnFormula>
    </tableColumn>
    <tableColumn id="4" xr3:uid="{A1F1B2A6-1DEC-412C-9D7B-2AB8144D3052}" name="total_risk_M03" dataDxfId="3">
      <calculatedColumnFormula>Summary38[[#This Row],[risk_weight]]+Summary38[[#This Row],[stuctural_risk]]</calculatedColumnFormula>
    </tableColumn>
    <tableColumn id="5" xr3:uid="{FDB005B2-FDB6-4D04-94BB-D8F5FE6FA18E}" name="total_risk_M02" dataDxfId="2">
      <calculatedColumnFormula>_xlfn.XLOOKUP(Summary38[[#This Row],[loan_id]],[1]!Risk2[loan_id],[1]!Risk2[total_risk])</calculatedColumnFormula>
    </tableColumn>
    <tableColumn id="6" xr3:uid="{76294DF3-F30B-45E3-96DC-715A36989BD1}" name="risk_change" dataDxfId="1">
      <calculatedColumnFormula>Summary38[[#This Row],[total_risk_M03]]-Summary38[[#This Row],[total_risk_M02]]</calculatedColumnFormula>
    </tableColumn>
    <tableColumn id="7" xr3:uid="{FF77C4C2-9D2B-443D-8EEE-3AFE10B1C4C5}" name="loan_size_band" dataDxfId="0">
      <calculatedColumnFormula>_xlfn.XLOOKUP(Summary38[[#This Row],[loan_id]],[1]!Loans[loan_id],[1]!Loans[loan_size_band])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6CC5C-B58B-4874-9F1D-6DA66ED1A74B}">
  <dimension ref="A1:G202"/>
  <sheetViews>
    <sheetView tabSelected="1" workbookViewId="0">
      <selection activeCell="F3" sqref="F3"/>
    </sheetView>
  </sheetViews>
  <sheetFormatPr defaultRowHeight="15" x14ac:dyDescent="0.25"/>
  <cols>
    <col min="1" max="1" width="11.42578125" customWidth="1"/>
    <col min="2" max="2" width="13.42578125" customWidth="1"/>
    <col min="3" max="3" width="14.85546875" customWidth="1"/>
    <col min="4" max="4" width="17.85546875" customWidth="1"/>
    <col min="5" max="5" width="16.85546875" customWidth="1"/>
    <col min="6" max="6" width="16.85546875" style="3" customWidth="1"/>
    <col min="7" max="7" width="17.42578125" customWidth="1"/>
  </cols>
  <sheetData>
    <row r="1" spans="1:7" x14ac:dyDescent="0.25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idden="1" x14ac:dyDescent="0.25">
      <c r="B2">
        <f>IF([1]!Repayment3[[#This Row],[payment_status]]="Full",0,IF([1]!Repayment3[[#This Row],[payment_status]]="Partial",0.5,1))</f>
        <v>0</v>
      </c>
      <c r="C2" t="e">
        <f>_xlfn.XLOOKUP(Summary38[[#This Row],[loan_id]],[1]!Loans[loan_id],[1]!Loans[structural_risk])</f>
        <v>#N/A</v>
      </c>
      <c r="D2" t="e">
        <f>Summary38[[#This Row],[risk_weight]]+Summary38[[#This Row],[stuctural_risk]]</f>
        <v>#N/A</v>
      </c>
      <c r="E2">
        <f>_xlfn.XLOOKUP(Summary38[[#This Row],[loan_id]],[1]!Risk2[loan_id],[1]!Risk2[total_risk])</f>
        <v>0.8</v>
      </c>
      <c r="F2" s="3" t="e">
        <f>Summary38[[#This Row],[total_risk_M03]]-Summary38[[#This Row],[total_risk_M02]]</f>
        <v>#N/A</v>
      </c>
      <c r="G2" t="e">
        <f>_xlfn.XLOOKUP(Summary38[[#This Row],[loan_id]],[1]!Loans[loan_id],[1]!Loans[loan_size_band])</f>
        <v>#N/A</v>
      </c>
    </row>
    <row r="3" spans="1:7" x14ac:dyDescent="0.25">
      <c r="A3" t="s">
        <v>7</v>
      </c>
      <c r="B3">
        <f>IF([1]!Repayment3[[#This Row],[payment_status]]="Full",0,IF([1]!Repayment3[[#This Row],[payment_status]]="Partial",0.5,1))</f>
        <v>0</v>
      </c>
      <c r="C3">
        <f>_xlfn.XLOOKUP(Summary38[[#This Row],[loan_id]],[1]!Loans[loan_id],[1]!Loans[structural_risk])</f>
        <v>0.8</v>
      </c>
      <c r="D3">
        <f>Summary38[[#This Row],[risk_weight]]+Summary38[[#This Row],[stuctural_risk]]</f>
        <v>0.8</v>
      </c>
      <c r="E3">
        <f>_xlfn.XLOOKUP(Summary38[[#This Row],[loan_id]],[1]!Risk2[loan_id],[1]!Risk2[total_risk])</f>
        <v>0.8</v>
      </c>
      <c r="F3" s="3">
        <f>Summary38[[#This Row],[total_risk_M03]]-Summary38[[#This Row],[total_risk_M02]]</f>
        <v>0</v>
      </c>
      <c r="G3" t="str">
        <f>_xlfn.XLOOKUP(Summary38[[#This Row],[loan_id]],[1]!Loans[loan_id],[1]!Loans[loan_size_band])</f>
        <v>Large</v>
      </c>
    </row>
    <row r="4" spans="1:7" x14ac:dyDescent="0.25">
      <c r="A4" t="s">
        <v>8</v>
      </c>
      <c r="B4">
        <f>IF([1]!Repayment3[[#This Row],[payment_status]]="Full",0,IF([1]!Repayment3[[#This Row],[payment_status]]="Partial",0.5,1))</f>
        <v>0</v>
      </c>
      <c r="C4">
        <f>_xlfn.XLOOKUP(Summary38[[#This Row],[loan_id]],[1]!Loans[loan_id],[1]!Loans[structural_risk])</f>
        <v>0.8</v>
      </c>
      <c r="D4">
        <f>Summary38[[#This Row],[risk_weight]]+Summary38[[#This Row],[stuctural_risk]]</f>
        <v>0.8</v>
      </c>
      <c r="E4">
        <f>_xlfn.XLOOKUP(Summary38[[#This Row],[loan_id]],[1]!Risk2[loan_id],[1]!Risk2[total_risk])</f>
        <v>0.8</v>
      </c>
      <c r="F4" s="3">
        <f>Summary38[[#This Row],[total_risk_M03]]-Summary38[[#This Row],[total_risk_M02]]</f>
        <v>0</v>
      </c>
      <c r="G4" t="str">
        <f>_xlfn.XLOOKUP(Summary38[[#This Row],[loan_id]],[1]!Loans[loan_id],[1]!Loans[loan_size_band])</f>
        <v>Large</v>
      </c>
    </row>
    <row r="5" spans="1:7" x14ac:dyDescent="0.25">
      <c r="A5" t="s">
        <v>9</v>
      </c>
      <c r="B5">
        <f>IF([1]!Repayment3[[#This Row],[payment_status]]="Full",0,IF([1]!Repayment3[[#This Row],[payment_status]]="Partial",0.5,1))</f>
        <v>0</v>
      </c>
      <c r="C5">
        <f>_xlfn.XLOOKUP(Summary38[[#This Row],[loan_id]],[1]!Loans[loan_id],[1]!Loans[structural_risk])</f>
        <v>0.8</v>
      </c>
      <c r="D5">
        <f>Summary38[[#This Row],[risk_weight]]+Summary38[[#This Row],[stuctural_risk]]</f>
        <v>0.8</v>
      </c>
      <c r="E5">
        <f>_xlfn.XLOOKUP(Summary38[[#This Row],[loan_id]],[1]!Risk2[loan_id],[1]!Risk2[total_risk])</f>
        <v>0.8</v>
      </c>
      <c r="F5" s="3">
        <f>Summary38[[#This Row],[total_risk_M03]]-Summary38[[#This Row],[total_risk_M02]]</f>
        <v>0</v>
      </c>
      <c r="G5" t="str">
        <f>_xlfn.XLOOKUP(Summary38[[#This Row],[loan_id]],[1]!Loans[loan_id],[1]!Loans[loan_size_band])</f>
        <v>Large</v>
      </c>
    </row>
    <row r="6" spans="1:7" x14ac:dyDescent="0.25">
      <c r="A6" t="s">
        <v>10</v>
      </c>
      <c r="B6">
        <f>IF([1]!Repayment3[[#This Row],[payment_status]]="Full",0,IF([1]!Repayment3[[#This Row],[payment_status]]="Partial",0.5,1))</f>
        <v>0</v>
      </c>
      <c r="C6">
        <f>_xlfn.XLOOKUP(Summary38[[#This Row],[loan_id]],[1]!Loans[loan_id],[1]!Loans[structural_risk])</f>
        <v>0.8</v>
      </c>
      <c r="D6">
        <f>Summary38[[#This Row],[risk_weight]]+Summary38[[#This Row],[stuctural_risk]]</f>
        <v>0.8</v>
      </c>
      <c r="E6">
        <f>_xlfn.XLOOKUP(Summary38[[#This Row],[loan_id]],[1]!Risk2[loan_id],[1]!Risk2[total_risk])</f>
        <v>0.8</v>
      </c>
      <c r="F6" s="3">
        <f>Summary38[[#This Row],[total_risk_M03]]-Summary38[[#This Row],[total_risk_M02]]</f>
        <v>0</v>
      </c>
      <c r="G6" t="str">
        <f>_xlfn.XLOOKUP(Summary38[[#This Row],[loan_id]],[1]!Loans[loan_id],[1]!Loans[loan_size_band])</f>
        <v>Large</v>
      </c>
    </row>
    <row r="7" spans="1:7" x14ac:dyDescent="0.25">
      <c r="A7" t="s">
        <v>11</v>
      </c>
      <c r="B7">
        <f>IF([1]!Repayment3[[#This Row],[payment_status]]="Full",0,IF([1]!Repayment3[[#This Row],[payment_status]]="Partial",0.5,1))</f>
        <v>0</v>
      </c>
      <c r="C7">
        <f>_xlfn.XLOOKUP(Summary38[[#This Row],[loan_id]],[1]!Loans[loan_id],[1]!Loans[structural_risk])</f>
        <v>0.8</v>
      </c>
      <c r="D7">
        <f>Summary38[[#This Row],[risk_weight]]+Summary38[[#This Row],[stuctural_risk]]</f>
        <v>0.8</v>
      </c>
      <c r="E7">
        <f>_xlfn.XLOOKUP(Summary38[[#This Row],[loan_id]],[1]!Risk2[loan_id],[1]!Risk2[total_risk])</f>
        <v>0.8</v>
      </c>
      <c r="F7" s="3">
        <f>Summary38[[#This Row],[total_risk_M03]]-Summary38[[#This Row],[total_risk_M02]]</f>
        <v>0</v>
      </c>
      <c r="G7" t="str">
        <f>_xlfn.XLOOKUP(Summary38[[#This Row],[loan_id]],[1]!Loans[loan_id],[1]!Loans[loan_size_band])</f>
        <v>Large</v>
      </c>
    </row>
    <row r="8" spans="1:7" x14ac:dyDescent="0.25">
      <c r="A8" t="s">
        <v>12</v>
      </c>
      <c r="B8">
        <f>IF([1]!Repayment3[[#This Row],[payment_status]]="Full",0,IF([1]!Repayment3[[#This Row],[payment_status]]="Partial",0.5,1))</f>
        <v>0</v>
      </c>
      <c r="C8">
        <f>_xlfn.XLOOKUP(Summary38[[#This Row],[loan_id]],[1]!Loans[loan_id],[1]!Loans[structural_risk])</f>
        <v>0.8</v>
      </c>
      <c r="D8">
        <f>Summary38[[#This Row],[risk_weight]]+Summary38[[#This Row],[stuctural_risk]]</f>
        <v>0.8</v>
      </c>
      <c r="E8">
        <f>_xlfn.XLOOKUP(Summary38[[#This Row],[loan_id]],[1]!Risk2[loan_id],[1]!Risk2[total_risk])</f>
        <v>0.8</v>
      </c>
      <c r="F8" s="3">
        <f>Summary38[[#This Row],[total_risk_M03]]-Summary38[[#This Row],[total_risk_M02]]</f>
        <v>0</v>
      </c>
      <c r="G8" t="str">
        <f>_xlfn.XLOOKUP(Summary38[[#This Row],[loan_id]],[1]!Loans[loan_id],[1]!Loans[loan_size_band])</f>
        <v>Large</v>
      </c>
    </row>
    <row r="9" spans="1:7" x14ac:dyDescent="0.25">
      <c r="A9" t="s">
        <v>13</v>
      </c>
      <c r="B9">
        <f>IF([1]!Repayment3[[#This Row],[payment_status]]="Full",0,IF([1]!Repayment3[[#This Row],[payment_status]]="Partial",0.5,1))</f>
        <v>0</v>
      </c>
      <c r="C9">
        <f>_xlfn.XLOOKUP(Summary38[[#This Row],[loan_id]],[1]!Loans[loan_id],[1]!Loans[structural_risk])</f>
        <v>0.8</v>
      </c>
      <c r="D9">
        <f>Summary38[[#This Row],[risk_weight]]+Summary38[[#This Row],[stuctural_risk]]</f>
        <v>0.8</v>
      </c>
      <c r="E9">
        <f>_xlfn.XLOOKUP(Summary38[[#This Row],[loan_id]],[1]!Risk2[loan_id],[1]!Risk2[total_risk])</f>
        <v>0.8</v>
      </c>
      <c r="F9" s="3">
        <f>Summary38[[#This Row],[total_risk_M03]]-Summary38[[#This Row],[total_risk_M02]]</f>
        <v>0</v>
      </c>
      <c r="G9" t="str">
        <f>_xlfn.XLOOKUP(Summary38[[#This Row],[loan_id]],[1]!Loans[loan_id],[1]!Loans[loan_size_band])</f>
        <v>Large</v>
      </c>
    </row>
    <row r="10" spans="1:7" x14ac:dyDescent="0.25">
      <c r="A10" t="s">
        <v>14</v>
      </c>
      <c r="B10">
        <f>IF([1]!Repayment3[[#This Row],[payment_status]]="Full",0,IF([1]!Repayment3[[#This Row],[payment_status]]="Partial",0.5,1))</f>
        <v>0</v>
      </c>
      <c r="C10">
        <f>_xlfn.XLOOKUP(Summary38[[#This Row],[loan_id]],[1]!Loans[loan_id],[1]!Loans[structural_risk])</f>
        <v>0.8</v>
      </c>
      <c r="D10">
        <f>Summary38[[#This Row],[risk_weight]]+Summary38[[#This Row],[stuctural_risk]]</f>
        <v>0.8</v>
      </c>
      <c r="E10">
        <f>_xlfn.XLOOKUP(Summary38[[#This Row],[loan_id]],[1]!Risk2[loan_id],[1]!Risk2[total_risk])</f>
        <v>0.8</v>
      </c>
      <c r="F10" s="3">
        <f>Summary38[[#This Row],[total_risk_M03]]-Summary38[[#This Row],[total_risk_M02]]</f>
        <v>0</v>
      </c>
      <c r="G10" t="str">
        <f>_xlfn.XLOOKUP(Summary38[[#This Row],[loan_id]],[1]!Loans[loan_id],[1]!Loans[loan_size_band])</f>
        <v>Large</v>
      </c>
    </row>
    <row r="11" spans="1:7" x14ac:dyDescent="0.25">
      <c r="A11" t="s">
        <v>15</v>
      </c>
      <c r="B11">
        <f>IF([1]!Repayment3[[#This Row],[payment_status]]="Full",0,IF([1]!Repayment3[[#This Row],[payment_status]]="Partial",0.5,1))</f>
        <v>0</v>
      </c>
      <c r="C11">
        <f>_xlfn.XLOOKUP(Summary38[[#This Row],[loan_id]],[1]!Loans[loan_id],[1]!Loans[structural_risk])</f>
        <v>0.8</v>
      </c>
      <c r="D11">
        <f>Summary38[[#This Row],[risk_weight]]+Summary38[[#This Row],[stuctural_risk]]</f>
        <v>0.8</v>
      </c>
      <c r="E11">
        <f>_xlfn.XLOOKUP(Summary38[[#This Row],[loan_id]],[1]!Risk2[loan_id],[1]!Risk2[total_risk])</f>
        <v>0.8</v>
      </c>
      <c r="F11" s="3">
        <f>Summary38[[#This Row],[total_risk_M03]]-Summary38[[#This Row],[total_risk_M02]]</f>
        <v>0</v>
      </c>
      <c r="G11" t="str">
        <f>_xlfn.XLOOKUP(Summary38[[#This Row],[loan_id]],[1]!Loans[loan_id],[1]!Loans[loan_size_band])</f>
        <v>Large</v>
      </c>
    </row>
    <row r="12" spans="1:7" x14ac:dyDescent="0.25">
      <c r="A12" t="s">
        <v>16</v>
      </c>
      <c r="B12">
        <f>IF([1]!Repayment3[[#This Row],[payment_status]]="Full",0,IF([1]!Repayment3[[#This Row],[payment_status]]="Partial",0.5,1))</f>
        <v>0</v>
      </c>
      <c r="C12">
        <f>_xlfn.XLOOKUP(Summary38[[#This Row],[loan_id]],[1]!Loans[loan_id],[1]!Loans[structural_risk])</f>
        <v>0.8</v>
      </c>
      <c r="D12">
        <f>Summary38[[#This Row],[risk_weight]]+Summary38[[#This Row],[stuctural_risk]]</f>
        <v>0.8</v>
      </c>
      <c r="E12">
        <f>_xlfn.XLOOKUP(Summary38[[#This Row],[loan_id]],[1]!Risk2[loan_id],[1]!Risk2[total_risk])</f>
        <v>0.8</v>
      </c>
      <c r="F12" s="3">
        <f>Summary38[[#This Row],[total_risk_M03]]-Summary38[[#This Row],[total_risk_M02]]</f>
        <v>0</v>
      </c>
      <c r="G12" t="str">
        <f>_xlfn.XLOOKUP(Summary38[[#This Row],[loan_id]],[1]!Loans[loan_id],[1]!Loans[loan_size_band])</f>
        <v>Large</v>
      </c>
    </row>
    <row r="13" spans="1:7" x14ac:dyDescent="0.25">
      <c r="A13" t="s">
        <v>17</v>
      </c>
      <c r="B13">
        <f>IF([1]!Repayment3[[#This Row],[payment_status]]="Full",0,IF([1]!Repayment3[[#This Row],[payment_status]]="Partial",0.5,1))</f>
        <v>0</v>
      </c>
      <c r="C13">
        <f>_xlfn.XLOOKUP(Summary38[[#This Row],[loan_id]],[1]!Loans[loan_id],[1]!Loans[structural_risk])</f>
        <v>0.8</v>
      </c>
      <c r="D13">
        <f>Summary38[[#This Row],[risk_weight]]+Summary38[[#This Row],[stuctural_risk]]</f>
        <v>0.8</v>
      </c>
      <c r="E13">
        <f>_xlfn.XLOOKUP(Summary38[[#This Row],[loan_id]],[1]!Risk2[loan_id],[1]!Risk2[total_risk])</f>
        <v>0.8</v>
      </c>
      <c r="F13" s="3">
        <f>Summary38[[#This Row],[total_risk_M03]]-Summary38[[#This Row],[total_risk_M02]]</f>
        <v>0</v>
      </c>
      <c r="G13" t="str">
        <f>_xlfn.XLOOKUP(Summary38[[#This Row],[loan_id]],[1]!Loans[loan_id],[1]!Loans[loan_size_band])</f>
        <v>Large</v>
      </c>
    </row>
    <row r="14" spans="1:7" x14ac:dyDescent="0.25">
      <c r="A14" t="s">
        <v>18</v>
      </c>
      <c r="B14">
        <f>IF([1]!Repayment3[[#This Row],[payment_status]]="Full",0,IF([1]!Repayment3[[#This Row],[payment_status]]="Partial",0.5,1))</f>
        <v>0</v>
      </c>
      <c r="C14">
        <f>_xlfn.XLOOKUP(Summary38[[#This Row],[loan_id]],[1]!Loans[loan_id],[1]!Loans[structural_risk])</f>
        <v>0.8</v>
      </c>
      <c r="D14">
        <f>Summary38[[#This Row],[risk_weight]]+Summary38[[#This Row],[stuctural_risk]]</f>
        <v>0.8</v>
      </c>
      <c r="E14">
        <f>_xlfn.XLOOKUP(Summary38[[#This Row],[loan_id]],[1]!Risk2[loan_id],[1]!Risk2[total_risk])</f>
        <v>0.8</v>
      </c>
      <c r="F14" s="3">
        <f>Summary38[[#This Row],[total_risk_M03]]-Summary38[[#This Row],[total_risk_M02]]</f>
        <v>0</v>
      </c>
      <c r="G14" t="str">
        <f>_xlfn.XLOOKUP(Summary38[[#This Row],[loan_id]],[1]!Loans[loan_id],[1]!Loans[loan_size_band])</f>
        <v>Large</v>
      </c>
    </row>
    <row r="15" spans="1:7" x14ac:dyDescent="0.25">
      <c r="A15" t="s">
        <v>19</v>
      </c>
      <c r="B15">
        <f>IF([1]!Repayment3[[#This Row],[payment_status]]="Full",0,IF([1]!Repayment3[[#This Row],[payment_status]]="Partial",0.5,1))</f>
        <v>0</v>
      </c>
      <c r="C15">
        <f>_xlfn.XLOOKUP(Summary38[[#This Row],[loan_id]],[1]!Loans[loan_id],[1]!Loans[structural_risk])</f>
        <v>0.8</v>
      </c>
      <c r="D15">
        <f>Summary38[[#This Row],[risk_weight]]+Summary38[[#This Row],[stuctural_risk]]</f>
        <v>0.8</v>
      </c>
      <c r="E15">
        <f>_xlfn.XLOOKUP(Summary38[[#This Row],[loan_id]],[1]!Risk2[loan_id],[1]!Risk2[total_risk])</f>
        <v>0.8</v>
      </c>
      <c r="F15" s="3">
        <f>Summary38[[#This Row],[total_risk_M03]]-Summary38[[#This Row],[total_risk_M02]]</f>
        <v>0</v>
      </c>
      <c r="G15" t="str">
        <f>_xlfn.XLOOKUP(Summary38[[#This Row],[loan_id]],[1]!Loans[loan_id],[1]!Loans[loan_size_band])</f>
        <v>Large</v>
      </c>
    </row>
    <row r="16" spans="1:7" x14ac:dyDescent="0.25">
      <c r="A16" t="s">
        <v>20</v>
      </c>
      <c r="B16">
        <f>IF([1]!Repayment3[[#This Row],[payment_status]]="Full",0,IF([1]!Repayment3[[#This Row],[payment_status]]="Partial",0.5,1))</f>
        <v>0</v>
      </c>
      <c r="C16">
        <f>_xlfn.XLOOKUP(Summary38[[#This Row],[loan_id]],[1]!Loans[loan_id],[1]!Loans[structural_risk])</f>
        <v>0.8</v>
      </c>
      <c r="D16">
        <f>Summary38[[#This Row],[risk_weight]]+Summary38[[#This Row],[stuctural_risk]]</f>
        <v>0.8</v>
      </c>
      <c r="E16">
        <f>_xlfn.XLOOKUP(Summary38[[#This Row],[loan_id]],[1]!Risk2[loan_id],[1]!Risk2[total_risk])</f>
        <v>0.8</v>
      </c>
      <c r="F16" s="3">
        <f>Summary38[[#This Row],[total_risk_M03]]-Summary38[[#This Row],[total_risk_M02]]</f>
        <v>0</v>
      </c>
      <c r="G16" t="str">
        <f>_xlfn.XLOOKUP(Summary38[[#This Row],[loan_id]],[1]!Loans[loan_id],[1]!Loans[loan_size_band])</f>
        <v>Large</v>
      </c>
    </row>
    <row r="17" spans="1:7" x14ac:dyDescent="0.25">
      <c r="A17" t="s">
        <v>21</v>
      </c>
      <c r="B17">
        <f>IF([1]!Repayment3[[#This Row],[payment_status]]="Full",0,IF([1]!Repayment3[[#This Row],[payment_status]]="Partial",0.5,1))</f>
        <v>0</v>
      </c>
      <c r="C17">
        <f>_xlfn.XLOOKUP(Summary38[[#This Row],[loan_id]],[1]!Loans[loan_id],[1]!Loans[structural_risk])</f>
        <v>0.8</v>
      </c>
      <c r="D17">
        <f>Summary38[[#This Row],[risk_weight]]+Summary38[[#This Row],[stuctural_risk]]</f>
        <v>0.8</v>
      </c>
      <c r="E17">
        <f>_xlfn.XLOOKUP(Summary38[[#This Row],[loan_id]],[1]!Risk2[loan_id],[1]!Risk2[total_risk])</f>
        <v>0.8</v>
      </c>
      <c r="F17" s="3">
        <f>Summary38[[#This Row],[total_risk_M03]]-Summary38[[#This Row],[total_risk_M02]]</f>
        <v>0</v>
      </c>
      <c r="G17" t="str">
        <f>_xlfn.XLOOKUP(Summary38[[#This Row],[loan_id]],[1]!Loans[loan_id],[1]!Loans[loan_size_band])</f>
        <v>Large</v>
      </c>
    </row>
    <row r="18" spans="1:7" x14ac:dyDescent="0.25">
      <c r="A18" t="s">
        <v>22</v>
      </c>
      <c r="B18">
        <f>IF([1]!Repayment3[[#This Row],[payment_status]]="Full",0,IF([1]!Repayment3[[#This Row],[payment_status]]="Partial",0.5,1))</f>
        <v>0</v>
      </c>
      <c r="C18">
        <f>_xlfn.XLOOKUP(Summary38[[#This Row],[loan_id]],[1]!Loans[loan_id],[1]!Loans[structural_risk])</f>
        <v>0.8</v>
      </c>
      <c r="D18">
        <f>Summary38[[#This Row],[risk_weight]]+Summary38[[#This Row],[stuctural_risk]]</f>
        <v>0.8</v>
      </c>
      <c r="E18">
        <f>_xlfn.XLOOKUP(Summary38[[#This Row],[loan_id]],[1]!Risk2[loan_id],[1]!Risk2[total_risk])</f>
        <v>0.8</v>
      </c>
      <c r="F18" s="3">
        <f>Summary38[[#This Row],[total_risk_M03]]-Summary38[[#This Row],[total_risk_M02]]</f>
        <v>0</v>
      </c>
      <c r="G18" t="str">
        <f>_xlfn.XLOOKUP(Summary38[[#This Row],[loan_id]],[1]!Loans[loan_id],[1]!Loans[loan_size_band])</f>
        <v>Large</v>
      </c>
    </row>
    <row r="19" spans="1:7" x14ac:dyDescent="0.25">
      <c r="A19" t="s">
        <v>23</v>
      </c>
      <c r="B19">
        <f>IF([1]!Repayment3[[#This Row],[payment_status]]="Full",0,IF([1]!Repayment3[[#This Row],[payment_status]]="Partial",0.5,1))</f>
        <v>0</v>
      </c>
      <c r="C19">
        <f>_xlfn.XLOOKUP(Summary38[[#This Row],[loan_id]],[1]!Loans[loan_id],[1]!Loans[structural_risk])</f>
        <v>0.8</v>
      </c>
      <c r="D19">
        <f>Summary38[[#This Row],[risk_weight]]+Summary38[[#This Row],[stuctural_risk]]</f>
        <v>0.8</v>
      </c>
      <c r="E19">
        <f>_xlfn.XLOOKUP(Summary38[[#This Row],[loan_id]],[1]!Risk2[loan_id],[1]!Risk2[total_risk])</f>
        <v>0.8</v>
      </c>
      <c r="F19" s="3">
        <f>Summary38[[#This Row],[total_risk_M03]]-Summary38[[#This Row],[total_risk_M02]]</f>
        <v>0</v>
      </c>
      <c r="G19" t="str">
        <f>_xlfn.XLOOKUP(Summary38[[#This Row],[loan_id]],[1]!Loans[loan_id],[1]!Loans[loan_size_band])</f>
        <v>Large</v>
      </c>
    </row>
    <row r="20" spans="1:7" x14ac:dyDescent="0.25">
      <c r="A20" t="s">
        <v>24</v>
      </c>
      <c r="B20">
        <f>IF([1]!Repayment3[[#This Row],[payment_status]]="Full",0,IF([1]!Repayment3[[#This Row],[payment_status]]="Partial",0.5,1))</f>
        <v>0</v>
      </c>
      <c r="C20">
        <f>_xlfn.XLOOKUP(Summary38[[#This Row],[loan_id]],[1]!Loans[loan_id],[1]!Loans[structural_risk])</f>
        <v>0.8</v>
      </c>
      <c r="D20">
        <f>Summary38[[#This Row],[risk_weight]]+Summary38[[#This Row],[stuctural_risk]]</f>
        <v>0.8</v>
      </c>
      <c r="E20">
        <f>_xlfn.XLOOKUP(Summary38[[#This Row],[loan_id]],[1]!Risk2[loan_id],[1]!Risk2[total_risk])</f>
        <v>0.8</v>
      </c>
      <c r="F20" s="3">
        <f>Summary38[[#This Row],[total_risk_M03]]-Summary38[[#This Row],[total_risk_M02]]</f>
        <v>0</v>
      </c>
      <c r="G20" t="str">
        <f>_xlfn.XLOOKUP(Summary38[[#This Row],[loan_id]],[1]!Loans[loan_id],[1]!Loans[loan_size_band])</f>
        <v>Large</v>
      </c>
    </row>
    <row r="21" spans="1:7" x14ac:dyDescent="0.25">
      <c r="A21" t="s">
        <v>25</v>
      </c>
      <c r="B21">
        <f>IF([1]!Repayment3[[#This Row],[payment_status]]="Full",0,IF([1]!Repayment3[[#This Row],[payment_status]]="Partial",0.5,1))</f>
        <v>0</v>
      </c>
      <c r="C21">
        <f>_xlfn.XLOOKUP(Summary38[[#This Row],[loan_id]],[1]!Loans[loan_id],[1]!Loans[structural_risk])</f>
        <v>0.8</v>
      </c>
      <c r="D21">
        <f>Summary38[[#This Row],[risk_weight]]+Summary38[[#This Row],[stuctural_risk]]</f>
        <v>0.8</v>
      </c>
      <c r="E21">
        <f>_xlfn.XLOOKUP(Summary38[[#This Row],[loan_id]],[1]!Risk2[loan_id],[1]!Risk2[total_risk])</f>
        <v>0.8</v>
      </c>
      <c r="F21" s="3">
        <f>Summary38[[#This Row],[total_risk_M03]]-Summary38[[#This Row],[total_risk_M02]]</f>
        <v>0</v>
      </c>
      <c r="G21" t="str">
        <f>_xlfn.XLOOKUP(Summary38[[#This Row],[loan_id]],[1]!Loans[loan_id],[1]!Loans[loan_size_band])</f>
        <v>Large</v>
      </c>
    </row>
    <row r="22" spans="1:7" x14ac:dyDescent="0.25">
      <c r="A22" t="s">
        <v>26</v>
      </c>
      <c r="B22">
        <f>IF([1]!Repayment3[[#This Row],[payment_status]]="Full",0,IF([1]!Repayment3[[#This Row],[payment_status]]="Partial",0.5,1))</f>
        <v>0</v>
      </c>
      <c r="C22">
        <f>_xlfn.XLOOKUP(Summary38[[#This Row],[loan_id]],[1]!Loans[loan_id],[1]!Loans[structural_risk])</f>
        <v>0.8</v>
      </c>
      <c r="D22">
        <f>Summary38[[#This Row],[risk_weight]]+Summary38[[#This Row],[stuctural_risk]]</f>
        <v>0.8</v>
      </c>
      <c r="E22">
        <f>_xlfn.XLOOKUP(Summary38[[#This Row],[loan_id]],[1]!Risk2[loan_id],[1]!Risk2[total_risk])</f>
        <v>0.8</v>
      </c>
      <c r="F22" s="3">
        <f>Summary38[[#This Row],[total_risk_M03]]-Summary38[[#This Row],[total_risk_M02]]</f>
        <v>0</v>
      </c>
      <c r="G22" t="str">
        <f>_xlfn.XLOOKUP(Summary38[[#This Row],[loan_id]],[1]!Loans[loan_id],[1]!Loans[loan_size_band])</f>
        <v>Large</v>
      </c>
    </row>
    <row r="23" spans="1:7" x14ac:dyDescent="0.25">
      <c r="A23" t="s">
        <v>27</v>
      </c>
      <c r="B23">
        <f>IF([1]!Repayment3[[#This Row],[payment_status]]="Full",0,IF([1]!Repayment3[[#This Row],[payment_status]]="Partial",0.5,1))</f>
        <v>0</v>
      </c>
      <c r="C23">
        <f>_xlfn.XLOOKUP(Summary38[[#This Row],[loan_id]],[1]!Loans[loan_id],[1]!Loans[structural_risk])</f>
        <v>0.8</v>
      </c>
      <c r="D23">
        <f>Summary38[[#This Row],[risk_weight]]+Summary38[[#This Row],[stuctural_risk]]</f>
        <v>0.8</v>
      </c>
      <c r="E23">
        <f>_xlfn.XLOOKUP(Summary38[[#This Row],[loan_id]],[1]!Risk2[loan_id],[1]!Risk2[total_risk])</f>
        <v>0.8</v>
      </c>
      <c r="F23" s="3">
        <f>Summary38[[#This Row],[total_risk_M03]]-Summary38[[#This Row],[total_risk_M02]]</f>
        <v>0</v>
      </c>
      <c r="G23" t="str">
        <f>_xlfn.XLOOKUP(Summary38[[#This Row],[loan_id]],[1]!Loans[loan_id],[1]!Loans[loan_size_band])</f>
        <v>Large</v>
      </c>
    </row>
    <row r="24" spans="1:7" x14ac:dyDescent="0.25">
      <c r="A24" t="s">
        <v>28</v>
      </c>
      <c r="B24">
        <f>IF([1]!Repayment3[[#This Row],[payment_status]]="Full",0,IF([1]!Repayment3[[#This Row],[payment_status]]="Partial",0.5,1))</f>
        <v>0</v>
      </c>
      <c r="C24">
        <f>_xlfn.XLOOKUP(Summary38[[#This Row],[loan_id]],[1]!Loans[loan_id],[1]!Loans[structural_risk])</f>
        <v>0.8</v>
      </c>
      <c r="D24">
        <f>Summary38[[#This Row],[risk_weight]]+Summary38[[#This Row],[stuctural_risk]]</f>
        <v>0.8</v>
      </c>
      <c r="E24">
        <f>_xlfn.XLOOKUP(Summary38[[#This Row],[loan_id]],[1]!Risk2[loan_id],[1]!Risk2[total_risk])</f>
        <v>0.8</v>
      </c>
      <c r="F24" s="3">
        <f>Summary38[[#This Row],[total_risk_M03]]-Summary38[[#This Row],[total_risk_M02]]</f>
        <v>0</v>
      </c>
      <c r="G24" t="str">
        <f>_xlfn.XLOOKUP(Summary38[[#This Row],[loan_id]],[1]!Loans[loan_id],[1]!Loans[loan_size_band])</f>
        <v>Large</v>
      </c>
    </row>
    <row r="25" spans="1:7" x14ac:dyDescent="0.25">
      <c r="A25" t="s">
        <v>29</v>
      </c>
      <c r="B25">
        <f>IF([1]!Repayment3[[#This Row],[payment_status]]="Full",0,IF([1]!Repayment3[[#This Row],[payment_status]]="Partial",0.5,1))</f>
        <v>0</v>
      </c>
      <c r="C25">
        <f>_xlfn.XLOOKUP(Summary38[[#This Row],[loan_id]],[1]!Loans[loan_id],[1]!Loans[structural_risk])</f>
        <v>0.8</v>
      </c>
      <c r="D25">
        <f>Summary38[[#This Row],[risk_weight]]+Summary38[[#This Row],[stuctural_risk]]</f>
        <v>0.8</v>
      </c>
      <c r="E25">
        <f>_xlfn.XLOOKUP(Summary38[[#This Row],[loan_id]],[1]!Risk2[loan_id],[1]!Risk2[total_risk])</f>
        <v>0.8</v>
      </c>
      <c r="F25" s="3">
        <f>Summary38[[#This Row],[total_risk_M03]]-Summary38[[#This Row],[total_risk_M02]]</f>
        <v>0</v>
      </c>
      <c r="G25" t="str">
        <f>_xlfn.XLOOKUP(Summary38[[#This Row],[loan_id]],[1]!Loans[loan_id],[1]!Loans[loan_size_band])</f>
        <v>Large</v>
      </c>
    </row>
    <row r="26" spans="1:7" x14ac:dyDescent="0.25">
      <c r="A26" t="s">
        <v>30</v>
      </c>
      <c r="B26">
        <f>IF([1]!Repayment3[[#This Row],[payment_status]]="Full",0,IF([1]!Repayment3[[#This Row],[payment_status]]="Partial",0.5,1))</f>
        <v>0</v>
      </c>
      <c r="C26">
        <f>_xlfn.XLOOKUP(Summary38[[#This Row],[loan_id]],[1]!Loans[loan_id],[1]!Loans[structural_risk])</f>
        <v>0.8</v>
      </c>
      <c r="D26">
        <f>Summary38[[#This Row],[risk_weight]]+Summary38[[#This Row],[stuctural_risk]]</f>
        <v>0.8</v>
      </c>
      <c r="E26">
        <f>_xlfn.XLOOKUP(Summary38[[#This Row],[loan_id]],[1]!Risk2[loan_id],[1]!Risk2[total_risk])</f>
        <v>0.8</v>
      </c>
      <c r="F26" s="3">
        <f>Summary38[[#This Row],[total_risk_M03]]-Summary38[[#This Row],[total_risk_M02]]</f>
        <v>0</v>
      </c>
      <c r="G26" t="str">
        <f>_xlfn.XLOOKUP(Summary38[[#This Row],[loan_id]],[1]!Loans[loan_id],[1]!Loans[loan_size_band])</f>
        <v>Large</v>
      </c>
    </row>
    <row r="27" spans="1:7" x14ac:dyDescent="0.25">
      <c r="A27" t="s">
        <v>31</v>
      </c>
      <c r="B27">
        <f>IF([1]!Repayment3[[#This Row],[payment_status]]="Full",0,IF([1]!Repayment3[[#This Row],[payment_status]]="Partial",0.5,1))</f>
        <v>0</v>
      </c>
      <c r="C27">
        <f>_xlfn.XLOOKUP(Summary38[[#This Row],[loan_id]],[1]!Loans[loan_id],[1]!Loans[structural_risk])</f>
        <v>0.8</v>
      </c>
      <c r="D27">
        <f>Summary38[[#This Row],[risk_weight]]+Summary38[[#This Row],[stuctural_risk]]</f>
        <v>0.8</v>
      </c>
      <c r="E27">
        <f>_xlfn.XLOOKUP(Summary38[[#This Row],[loan_id]],[1]!Risk2[loan_id],[1]!Risk2[total_risk])</f>
        <v>0.8</v>
      </c>
      <c r="F27" s="3">
        <f>Summary38[[#This Row],[total_risk_M03]]-Summary38[[#This Row],[total_risk_M02]]</f>
        <v>0</v>
      </c>
      <c r="G27" t="str">
        <f>_xlfn.XLOOKUP(Summary38[[#This Row],[loan_id]],[1]!Loans[loan_id],[1]!Loans[loan_size_band])</f>
        <v>Large</v>
      </c>
    </row>
    <row r="28" spans="1:7" x14ac:dyDescent="0.25">
      <c r="A28" t="s">
        <v>32</v>
      </c>
      <c r="B28">
        <f>IF([1]!Repayment3[[#This Row],[payment_status]]="Full",0,IF([1]!Repayment3[[#This Row],[payment_status]]="Partial",0.5,1))</f>
        <v>0</v>
      </c>
      <c r="C28">
        <f>_xlfn.XLOOKUP(Summary38[[#This Row],[loan_id]],[1]!Loans[loan_id],[1]!Loans[structural_risk])</f>
        <v>0.8</v>
      </c>
      <c r="D28">
        <f>Summary38[[#This Row],[risk_weight]]+Summary38[[#This Row],[stuctural_risk]]</f>
        <v>0.8</v>
      </c>
      <c r="E28">
        <f>_xlfn.XLOOKUP(Summary38[[#This Row],[loan_id]],[1]!Risk2[loan_id],[1]!Risk2[total_risk])</f>
        <v>0.8</v>
      </c>
      <c r="F28" s="3">
        <f>Summary38[[#This Row],[total_risk_M03]]-Summary38[[#This Row],[total_risk_M02]]</f>
        <v>0</v>
      </c>
      <c r="G28" t="str">
        <f>_xlfn.XLOOKUP(Summary38[[#This Row],[loan_id]],[1]!Loans[loan_id],[1]!Loans[loan_size_band])</f>
        <v>Large</v>
      </c>
    </row>
    <row r="29" spans="1:7" x14ac:dyDescent="0.25">
      <c r="A29" t="s">
        <v>33</v>
      </c>
      <c r="B29">
        <f>IF([1]!Repayment3[[#This Row],[payment_status]]="Full",0,IF([1]!Repayment3[[#This Row],[payment_status]]="Partial",0.5,1))</f>
        <v>0</v>
      </c>
      <c r="C29">
        <f>_xlfn.XLOOKUP(Summary38[[#This Row],[loan_id]],[1]!Loans[loan_id],[1]!Loans[structural_risk])</f>
        <v>0.8</v>
      </c>
      <c r="D29">
        <f>Summary38[[#This Row],[risk_weight]]+Summary38[[#This Row],[stuctural_risk]]</f>
        <v>0.8</v>
      </c>
      <c r="E29">
        <f>_xlfn.XLOOKUP(Summary38[[#This Row],[loan_id]],[1]!Risk2[loan_id],[1]!Risk2[total_risk])</f>
        <v>0.8</v>
      </c>
      <c r="F29" s="3">
        <f>Summary38[[#This Row],[total_risk_M03]]-Summary38[[#This Row],[total_risk_M02]]</f>
        <v>0</v>
      </c>
      <c r="G29" t="str">
        <f>_xlfn.XLOOKUP(Summary38[[#This Row],[loan_id]],[1]!Loans[loan_id],[1]!Loans[loan_size_band])</f>
        <v>Large</v>
      </c>
    </row>
    <row r="30" spans="1:7" x14ac:dyDescent="0.25">
      <c r="A30" t="s">
        <v>34</v>
      </c>
      <c r="B30">
        <f>IF([1]!Repayment3[[#This Row],[payment_status]]="Full",0,IF([1]!Repayment3[[#This Row],[payment_status]]="Partial",0.5,1))</f>
        <v>0</v>
      </c>
      <c r="C30">
        <f>_xlfn.XLOOKUP(Summary38[[#This Row],[loan_id]],[1]!Loans[loan_id],[1]!Loans[structural_risk])</f>
        <v>0.8</v>
      </c>
      <c r="D30">
        <f>Summary38[[#This Row],[risk_weight]]+Summary38[[#This Row],[stuctural_risk]]</f>
        <v>0.8</v>
      </c>
      <c r="E30">
        <f>_xlfn.XLOOKUP(Summary38[[#This Row],[loan_id]],[1]!Risk2[loan_id],[1]!Risk2[total_risk])</f>
        <v>0.8</v>
      </c>
      <c r="F30" s="3">
        <f>Summary38[[#This Row],[total_risk_M03]]-Summary38[[#This Row],[total_risk_M02]]</f>
        <v>0</v>
      </c>
      <c r="G30" t="str">
        <f>_xlfn.XLOOKUP(Summary38[[#This Row],[loan_id]],[1]!Loans[loan_id],[1]!Loans[loan_size_band])</f>
        <v>Large</v>
      </c>
    </row>
    <row r="31" spans="1:7" x14ac:dyDescent="0.25">
      <c r="A31" t="s">
        <v>35</v>
      </c>
      <c r="B31">
        <f>IF([1]!Repayment3[[#This Row],[payment_status]]="Full",0,IF([1]!Repayment3[[#This Row],[payment_status]]="Partial",0.5,1))</f>
        <v>0</v>
      </c>
      <c r="C31">
        <f>_xlfn.XLOOKUP(Summary38[[#This Row],[loan_id]],[1]!Loans[loan_id],[1]!Loans[structural_risk])</f>
        <v>0.8</v>
      </c>
      <c r="D31">
        <f>Summary38[[#This Row],[risk_weight]]+Summary38[[#This Row],[stuctural_risk]]</f>
        <v>0.8</v>
      </c>
      <c r="E31">
        <f>_xlfn.XLOOKUP(Summary38[[#This Row],[loan_id]],[1]!Risk2[loan_id],[1]!Risk2[total_risk])</f>
        <v>0.8</v>
      </c>
      <c r="F31" s="3">
        <f>Summary38[[#This Row],[total_risk_M03]]-Summary38[[#This Row],[total_risk_M02]]</f>
        <v>0</v>
      </c>
      <c r="G31" t="str">
        <f>_xlfn.XLOOKUP(Summary38[[#This Row],[loan_id]],[1]!Loans[loan_id],[1]!Loans[loan_size_band])</f>
        <v>Large</v>
      </c>
    </row>
    <row r="32" spans="1:7" x14ac:dyDescent="0.25">
      <c r="A32" t="s">
        <v>36</v>
      </c>
      <c r="B32">
        <f>IF([1]!Repayment3[[#This Row],[payment_status]]="Full",0,IF([1]!Repayment3[[#This Row],[payment_status]]="Partial",0.5,1))</f>
        <v>0</v>
      </c>
      <c r="C32">
        <f>_xlfn.XLOOKUP(Summary38[[#This Row],[loan_id]],[1]!Loans[loan_id],[1]!Loans[structural_risk])</f>
        <v>0.8</v>
      </c>
      <c r="D32">
        <f>Summary38[[#This Row],[risk_weight]]+Summary38[[#This Row],[stuctural_risk]]</f>
        <v>0.8</v>
      </c>
      <c r="E32">
        <f>_xlfn.XLOOKUP(Summary38[[#This Row],[loan_id]],[1]!Risk2[loan_id],[1]!Risk2[total_risk])</f>
        <v>0.8</v>
      </c>
      <c r="F32" s="3">
        <f>Summary38[[#This Row],[total_risk_M03]]-Summary38[[#This Row],[total_risk_M02]]</f>
        <v>0</v>
      </c>
      <c r="G32" t="str">
        <f>_xlfn.XLOOKUP(Summary38[[#This Row],[loan_id]],[1]!Loans[loan_id],[1]!Loans[loan_size_band])</f>
        <v>Large</v>
      </c>
    </row>
    <row r="33" spans="1:7" x14ac:dyDescent="0.25">
      <c r="A33" t="s">
        <v>37</v>
      </c>
      <c r="B33">
        <f>IF([1]!Repayment3[[#This Row],[payment_status]]="Full",0,IF([1]!Repayment3[[#This Row],[payment_status]]="Partial",0.5,1))</f>
        <v>0</v>
      </c>
      <c r="C33">
        <f>_xlfn.XLOOKUP(Summary38[[#This Row],[loan_id]],[1]!Loans[loan_id],[1]!Loans[structural_risk])</f>
        <v>0.8</v>
      </c>
      <c r="D33">
        <f>Summary38[[#This Row],[risk_weight]]+Summary38[[#This Row],[stuctural_risk]]</f>
        <v>0.8</v>
      </c>
      <c r="E33">
        <f>_xlfn.XLOOKUP(Summary38[[#This Row],[loan_id]],[1]!Risk2[loan_id],[1]!Risk2[total_risk])</f>
        <v>0.8</v>
      </c>
      <c r="F33" s="3">
        <f>Summary38[[#This Row],[total_risk_M03]]-Summary38[[#This Row],[total_risk_M02]]</f>
        <v>0</v>
      </c>
      <c r="G33" t="str">
        <f>_xlfn.XLOOKUP(Summary38[[#This Row],[loan_id]],[1]!Loans[loan_id],[1]!Loans[loan_size_band])</f>
        <v>Large</v>
      </c>
    </row>
    <row r="34" spans="1:7" x14ac:dyDescent="0.25">
      <c r="A34" t="s">
        <v>38</v>
      </c>
      <c r="B34">
        <f>IF([1]!Repayment3[[#This Row],[payment_status]]="Full",0,IF([1]!Repayment3[[#This Row],[payment_status]]="Partial",0.5,1))</f>
        <v>0</v>
      </c>
      <c r="C34">
        <f>_xlfn.XLOOKUP(Summary38[[#This Row],[loan_id]],[1]!Loans[loan_id],[1]!Loans[structural_risk])</f>
        <v>0.8</v>
      </c>
      <c r="D34">
        <f>Summary38[[#This Row],[risk_weight]]+Summary38[[#This Row],[stuctural_risk]]</f>
        <v>0.8</v>
      </c>
      <c r="E34">
        <f>_xlfn.XLOOKUP(Summary38[[#This Row],[loan_id]],[1]!Risk2[loan_id],[1]!Risk2[total_risk])</f>
        <v>0.8</v>
      </c>
      <c r="F34" s="3">
        <f>Summary38[[#This Row],[total_risk_M03]]-Summary38[[#This Row],[total_risk_M02]]</f>
        <v>0</v>
      </c>
      <c r="G34" t="str">
        <f>_xlfn.XLOOKUP(Summary38[[#This Row],[loan_id]],[1]!Loans[loan_id],[1]!Loans[loan_size_band])</f>
        <v>Large</v>
      </c>
    </row>
    <row r="35" spans="1:7" x14ac:dyDescent="0.25">
      <c r="A35" t="s">
        <v>39</v>
      </c>
      <c r="B35">
        <f>IF([1]!Repayment3[[#This Row],[payment_status]]="Full",0,IF([1]!Repayment3[[#This Row],[payment_status]]="Partial",0.5,1))</f>
        <v>0</v>
      </c>
      <c r="C35">
        <f>_xlfn.XLOOKUP(Summary38[[#This Row],[loan_id]],[1]!Loans[loan_id],[1]!Loans[structural_risk])</f>
        <v>0.8</v>
      </c>
      <c r="D35">
        <f>Summary38[[#This Row],[risk_weight]]+Summary38[[#This Row],[stuctural_risk]]</f>
        <v>0.8</v>
      </c>
      <c r="E35">
        <f>_xlfn.XLOOKUP(Summary38[[#This Row],[loan_id]],[1]!Risk2[loan_id],[1]!Risk2[total_risk])</f>
        <v>0.8</v>
      </c>
      <c r="F35" s="3">
        <f>Summary38[[#This Row],[total_risk_M03]]-Summary38[[#This Row],[total_risk_M02]]</f>
        <v>0</v>
      </c>
      <c r="G35" t="str">
        <f>_xlfn.XLOOKUP(Summary38[[#This Row],[loan_id]],[1]!Loans[loan_id],[1]!Loans[loan_size_band])</f>
        <v>Large</v>
      </c>
    </row>
    <row r="36" spans="1:7" x14ac:dyDescent="0.25">
      <c r="A36" t="s">
        <v>40</v>
      </c>
      <c r="B36">
        <f>IF([1]!Repayment3[[#This Row],[payment_status]]="Full",0,IF([1]!Repayment3[[#This Row],[payment_status]]="Partial",0.5,1))</f>
        <v>0</v>
      </c>
      <c r="C36">
        <f>_xlfn.XLOOKUP(Summary38[[#This Row],[loan_id]],[1]!Loans[loan_id],[1]!Loans[structural_risk])</f>
        <v>0.8</v>
      </c>
      <c r="D36">
        <f>Summary38[[#This Row],[risk_weight]]+Summary38[[#This Row],[stuctural_risk]]</f>
        <v>0.8</v>
      </c>
      <c r="E36">
        <f>_xlfn.XLOOKUP(Summary38[[#This Row],[loan_id]],[1]!Risk2[loan_id],[1]!Risk2[total_risk])</f>
        <v>0.8</v>
      </c>
      <c r="F36" s="3">
        <f>Summary38[[#This Row],[total_risk_M03]]-Summary38[[#This Row],[total_risk_M02]]</f>
        <v>0</v>
      </c>
      <c r="G36" t="str">
        <f>_xlfn.XLOOKUP(Summary38[[#This Row],[loan_id]],[1]!Loans[loan_id],[1]!Loans[loan_size_band])</f>
        <v>Large</v>
      </c>
    </row>
    <row r="37" spans="1:7" x14ac:dyDescent="0.25">
      <c r="A37" t="s">
        <v>41</v>
      </c>
      <c r="B37">
        <f>IF([1]!Repayment3[[#This Row],[payment_status]]="Full",0,IF([1]!Repayment3[[#This Row],[payment_status]]="Partial",0.5,1))</f>
        <v>0</v>
      </c>
      <c r="C37">
        <f>_xlfn.XLOOKUP(Summary38[[#This Row],[loan_id]],[1]!Loans[loan_id],[1]!Loans[structural_risk])</f>
        <v>0.8</v>
      </c>
      <c r="D37">
        <f>Summary38[[#This Row],[risk_weight]]+Summary38[[#This Row],[stuctural_risk]]</f>
        <v>0.8</v>
      </c>
      <c r="E37">
        <f>_xlfn.XLOOKUP(Summary38[[#This Row],[loan_id]],[1]!Risk2[loan_id],[1]!Risk2[total_risk])</f>
        <v>0.8</v>
      </c>
      <c r="F37" s="3">
        <f>Summary38[[#This Row],[total_risk_M03]]-Summary38[[#This Row],[total_risk_M02]]</f>
        <v>0</v>
      </c>
      <c r="G37" t="str">
        <f>_xlfn.XLOOKUP(Summary38[[#This Row],[loan_id]],[1]!Loans[loan_id],[1]!Loans[loan_size_band])</f>
        <v>Large</v>
      </c>
    </row>
    <row r="38" spans="1:7" x14ac:dyDescent="0.25">
      <c r="A38" t="s">
        <v>42</v>
      </c>
      <c r="B38">
        <f>IF([1]!Repayment3[[#This Row],[payment_status]]="Full",0,IF([1]!Repayment3[[#This Row],[payment_status]]="Partial",0.5,1))</f>
        <v>0</v>
      </c>
      <c r="C38">
        <f>_xlfn.XLOOKUP(Summary38[[#This Row],[loan_id]],[1]!Loans[loan_id],[1]!Loans[structural_risk])</f>
        <v>0.8</v>
      </c>
      <c r="D38">
        <f>Summary38[[#This Row],[risk_weight]]+Summary38[[#This Row],[stuctural_risk]]</f>
        <v>0.8</v>
      </c>
      <c r="E38">
        <f>_xlfn.XLOOKUP(Summary38[[#This Row],[loan_id]],[1]!Risk2[loan_id],[1]!Risk2[total_risk])</f>
        <v>0.8</v>
      </c>
      <c r="F38" s="3">
        <f>Summary38[[#This Row],[total_risk_M03]]-Summary38[[#This Row],[total_risk_M02]]</f>
        <v>0</v>
      </c>
      <c r="G38" t="str">
        <f>_xlfn.XLOOKUP(Summary38[[#This Row],[loan_id]],[1]!Loans[loan_id],[1]!Loans[loan_size_band])</f>
        <v>Large</v>
      </c>
    </row>
    <row r="39" spans="1:7" x14ac:dyDescent="0.25">
      <c r="A39" t="s">
        <v>43</v>
      </c>
      <c r="B39">
        <f>IF([1]!Repayment3[[#This Row],[payment_status]]="Full",0,IF([1]!Repayment3[[#This Row],[payment_status]]="Partial",0.5,1))</f>
        <v>0</v>
      </c>
      <c r="C39">
        <f>_xlfn.XLOOKUP(Summary38[[#This Row],[loan_id]],[1]!Loans[loan_id],[1]!Loans[structural_risk])</f>
        <v>0.8</v>
      </c>
      <c r="D39">
        <f>Summary38[[#This Row],[risk_weight]]+Summary38[[#This Row],[stuctural_risk]]</f>
        <v>0.8</v>
      </c>
      <c r="E39">
        <f>_xlfn.XLOOKUP(Summary38[[#This Row],[loan_id]],[1]!Risk2[loan_id],[1]!Risk2[total_risk])</f>
        <v>0.8</v>
      </c>
      <c r="F39" s="3">
        <f>Summary38[[#This Row],[total_risk_M03]]-Summary38[[#This Row],[total_risk_M02]]</f>
        <v>0</v>
      </c>
      <c r="G39" t="str">
        <f>_xlfn.XLOOKUP(Summary38[[#This Row],[loan_id]],[1]!Loans[loan_id],[1]!Loans[loan_size_band])</f>
        <v>Large</v>
      </c>
    </row>
    <row r="40" spans="1:7" x14ac:dyDescent="0.25">
      <c r="A40" t="s">
        <v>44</v>
      </c>
      <c r="B40">
        <f>IF([1]!Repayment3[[#This Row],[payment_status]]="Full",0,IF([1]!Repayment3[[#This Row],[payment_status]]="Partial",0.5,1))</f>
        <v>0</v>
      </c>
      <c r="C40">
        <f>_xlfn.XLOOKUP(Summary38[[#This Row],[loan_id]],[1]!Loans[loan_id],[1]!Loans[structural_risk])</f>
        <v>0.8</v>
      </c>
      <c r="D40">
        <f>Summary38[[#This Row],[risk_weight]]+Summary38[[#This Row],[stuctural_risk]]</f>
        <v>0.8</v>
      </c>
      <c r="E40">
        <f>_xlfn.XLOOKUP(Summary38[[#This Row],[loan_id]],[1]!Risk2[loan_id],[1]!Risk2[total_risk])</f>
        <v>0.8</v>
      </c>
      <c r="F40" s="3">
        <f>Summary38[[#This Row],[total_risk_M03]]-Summary38[[#This Row],[total_risk_M02]]</f>
        <v>0</v>
      </c>
      <c r="G40" t="str">
        <f>_xlfn.XLOOKUP(Summary38[[#This Row],[loan_id]],[1]!Loans[loan_id],[1]!Loans[loan_size_band])</f>
        <v>Large</v>
      </c>
    </row>
    <row r="41" spans="1:7" x14ac:dyDescent="0.25">
      <c r="A41" t="s">
        <v>45</v>
      </c>
      <c r="B41">
        <f>IF([1]!Repayment3[[#This Row],[payment_status]]="Full",0,IF([1]!Repayment3[[#This Row],[payment_status]]="Partial",0.5,1))</f>
        <v>0</v>
      </c>
      <c r="C41">
        <f>_xlfn.XLOOKUP(Summary38[[#This Row],[loan_id]],[1]!Loans[loan_id],[1]!Loans[structural_risk])</f>
        <v>0.8</v>
      </c>
      <c r="D41">
        <f>Summary38[[#This Row],[risk_weight]]+Summary38[[#This Row],[stuctural_risk]]</f>
        <v>0.8</v>
      </c>
      <c r="E41">
        <f>_xlfn.XLOOKUP(Summary38[[#This Row],[loan_id]],[1]!Risk2[loan_id],[1]!Risk2[total_risk])</f>
        <v>0.8</v>
      </c>
      <c r="F41" s="3">
        <f>Summary38[[#This Row],[total_risk_M03]]-Summary38[[#This Row],[total_risk_M02]]</f>
        <v>0</v>
      </c>
      <c r="G41" t="str">
        <f>_xlfn.XLOOKUP(Summary38[[#This Row],[loan_id]],[1]!Loans[loan_id],[1]!Loans[loan_size_band])</f>
        <v>Large</v>
      </c>
    </row>
    <row r="42" spans="1:7" x14ac:dyDescent="0.25">
      <c r="A42" t="s">
        <v>46</v>
      </c>
      <c r="B42">
        <f>IF([1]!Repayment3[[#This Row],[payment_status]]="Full",0,IF([1]!Repayment3[[#This Row],[payment_status]]="Partial",0.5,1))</f>
        <v>0</v>
      </c>
      <c r="C42">
        <f>_xlfn.XLOOKUP(Summary38[[#This Row],[loan_id]],[1]!Loans[loan_id],[1]!Loans[structural_risk])</f>
        <v>0.8</v>
      </c>
      <c r="D42">
        <f>Summary38[[#This Row],[risk_weight]]+Summary38[[#This Row],[stuctural_risk]]</f>
        <v>0.8</v>
      </c>
      <c r="E42">
        <f>_xlfn.XLOOKUP(Summary38[[#This Row],[loan_id]],[1]!Risk2[loan_id],[1]!Risk2[total_risk])</f>
        <v>0.8</v>
      </c>
      <c r="F42" s="3">
        <f>Summary38[[#This Row],[total_risk_M03]]-Summary38[[#This Row],[total_risk_M02]]</f>
        <v>0</v>
      </c>
      <c r="G42" t="str">
        <f>_xlfn.XLOOKUP(Summary38[[#This Row],[loan_id]],[1]!Loans[loan_id],[1]!Loans[loan_size_band])</f>
        <v>Large</v>
      </c>
    </row>
    <row r="43" spans="1:7" x14ac:dyDescent="0.25">
      <c r="A43" t="s">
        <v>47</v>
      </c>
      <c r="B43">
        <f>IF([1]!Repayment3[[#This Row],[payment_status]]="Full",0,IF([1]!Repayment3[[#This Row],[payment_status]]="Partial",0.5,1))</f>
        <v>0</v>
      </c>
      <c r="C43">
        <f>_xlfn.XLOOKUP(Summary38[[#This Row],[loan_id]],[1]!Loans[loan_id],[1]!Loans[structural_risk])</f>
        <v>0.8</v>
      </c>
      <c r="D43">
        <f>Summary38[[#This Row],[risk_weight]]+Summary38[[#This Row],[stuctural_risk]]</f>
        <v>0.8</v>
      </c>
      <c r="E43">
        <f>_xlfn.XLOOKUP(Summary38[[#This Row],[loan_id]],[1]!Risk2[loan_id],[1]!Risk2[total_risk])</f>
        <v>0.8</v>
      </c>
      <c r="F43" s="3">
        <f>Summary38[[#This Row],[total_risk_M03]]-Summary38[[#This Row],[total_risk_M02]]</f>
        <v>0</v>
      </c>
      <c r="G43" t="str">
        <f>_xlfn.XLOOKUP(Summary38[[#This Row],[loan_id]],[1]!Loans[loan_id],[1]!Loans[loan_size_band])</f>
        <v>Large</v>
      </c>
    </row>
    <row r="44" spans="1:7" x14ac:dyDescent="0.25">
      <c r="A44" t="s">
        <v>48</v>
      </c>
      <c r="B44">
        <f>IF([1]!Repayment3[[#This Row],[payment_status]]="Full",0,IF([1]!Repayment3[[#This Row],[payment_status]]="Partial",0.5,1))</f>
        <v>0</v>
      </c>
      <c r="C44">
        <f>_xlfn.XLOOKUP(Summary38[[#This Row],[loan_id]],[1]!Loans[loan_id],[1]!Loans[structural_risk])</f>
        <v>0.8</v>
      </c>
      <c r="D44">
        <f>Summary38[[#This Row],[risk_weight]]+Summary38[[#This Row],[stuctural_risk]]</f>
        <v>0.8</v>
      </c>
      <c r="E44">
        <f>_xlfn.XLOOKUP(Summary38[[#This Row],[loan_id]],[1]!Risk2[loan_id],[1]!Risk2[total_risk])</f>
        <v>0.8</v>
      </c>
      <c r="F44" s="3">
        <f>Summary38[[#This Row],[total_risk_M03]]-Summary38[[#This Row],[total_risk_M02]]</f>
        <v>0</v>
      </c>
      <c r="G44" t="str">
        <f>_xlfn.XLOOKUP(Summary38[[#This Row],[loan_id]],[1]!Loans[loan_id],[1]!Loans[loan_size_band])</f>
        <v>Large</v>
      </c>
    </row>
    <row r="45" spans="1:7" x14ac:dyDescent="0.25">
      <c r="A45" t="s">
        <v>49</v>
      </c>
      <c r="B45">
        <f>IF([1]!Repayment3[[#This Row],[payment_status]]="Full",0,IF([1]!Repayment3[[#This Row],[payment_status]]="Partial",0.5,1))</f>
        <v>0</v>
      </c>
      <c r="C45">
        <f>_xlfn.XLOOKUP(Summary38[[#This Row],[loan_id]],[1]!Loans[loan_id],[1]!Loans[structural_risk])</f>
        <v>0.8</v>
      </c>
      <c r="D45">
        <f>Summary38[[#This Row],[risk_weight]]+Summary38[[#This Row],[stuctural_risk]]</f>
        <v>0.8</v>
      </c>
      <c r="E45">
        <f>_xlfn.XLOOKUP(Summary38[[#This Row],[loan_id]],[1]!Risk2[loan_id],[1]!Risk2[total_risk])</f>
        <v>0.8</v>
      </c>
      <c r="F45" s="3">
        <f>Summary38[[#This Row],[total_risk_M03]]-Summary38[[#This Row],[total_risk_M02]]</f>
        <v>0</v>
      </c>
      <c r="G45" t="str">
        <f>_xlfn.XLOOKUP(Summary38[[#This Row],[loan_id]],[1]!Loans[loan_id],[1]!Loans[loan_size_band])</f>
        <v>Large</v>
      </c>
    </row>
    <row r="46" spans="1:7" x14ac:dyDescent="0.25">
      <c r="A46" t="s">
        <v>50</v>
      </c>
      <c r="B46">
        <f>IF([1]!Repayment3[[#This Row],[payment_status]]="Full",0,IF([1]!Repayment3[[#This Row],[payment_status]]="Partial",0.5,1))</f>
        <v>0</v>
      </c>
      <c r="C46">
        <f>_xlfn.XLOOKUP(Summary38[[#This Row],[loan_id]],[1]!Loans[loan_id],[1]!Loans[structural_risk])</f>
        <v>0.8</v>
      </c>
      <c r="D46">
        <f>Summary38[[#This Row],[risk_weight]]+Summary38[[#This Row],[stuctural_risk]]</f>
        <v>0.8</v>
      </c>
      <c r="E46">
        <f>_xlfn.XLOOKUP(Summary38[[#This Row],[loan_id]],[1]!Risk2[loan_id],[1]!Risk2[total_risk])</f>
        <v>0.8</v>
      </c>
      <c r="F46" s="3">
        <f>Summary38[[#This Row],[total_risk_M03]]-Summary38[[#This Row],[total_risk_M02]]</f>
        <v>0</v>
      </c>
      <c r="G46" t="str">
        <f>_xlfn.XLOOKUP(Summary38[[#This Row],[loan_id]],[1]!Loans[loan_id],[1]!Loans[loan_size_band])</f>
        <v>Large</v>
      </c>
    </row>
    <row r="47" spans="1:7" x14ac:dyDescent="0.25">
      <c r="A47" t="s">
        <v>51</v>
      </c>
      <c r="B47">
        <f>IF([1]!Repayment3[[#This Row],[payment_status]]="Full",0,IF([1]!Repayment3[[#This Row],[payment_status]]="Partial",0.5,1))</f>
        <v>0</v>
      </c>
      <c r="C47">
        <f>_xlfn.XLOOKUP(Summary38[[#This Row],[loan_id]],[1]!Loans[loan_id],[1]!Loans[structural_risk])</f>
        <v>0.8</v>
      </c>
      <c r="D47">
        <f>Summary38[[#This Row],[risk_weight]]+Summary38[[#This Row],[stuctural_risk]]</f>
        <v>0.8</v>
      </c>
      <c r="E47">
        <f>_xlfn.XLOOKUP(Summary38[[#This Row],[loan_id]],[1]!Risk2[loan_id],[1]!Risk2[total_risk])</f>
        <v>0.8</v>
      </c>
      <c r="F47" s="3">
        <f>Summary38[[#This Row],[total_risk_M03]]-Summary38[[#This Row],[total_risk_M02]]</f>
        <v>0</v>
      </c>
      <c r="G47" t="str">
        <f>_xlfn.XLOOKUP(Summary38[[#This Row],[loan_id]],[1]!Loans[loan_id],[1]!Loans[loan_size_band])</f>
        <v>Large</v>
      </c>
    </row>
    <row r="48" spans="1:7" x14ac:dyDescent="0.25">
      <c r="A48" t="s">
        <v>52</v>
      </c>
      <c r="B48">
        <f>IF([1]!Repayment3[[#This Row],[payment_status]]="Full",0,IF([1]!Repayment3[[#This Row],[payment_status]]="Partial",0.5,1))</f>
        <v>0</v>
      </c>
      <c r="C48">
        <f>_xlfn.XLOOKUP(Summary38[[#This Row],[loan_id]],[1]!Loans[loan_id],[1]!Loans[structural_risk])</f>
        <v>0.8</v>
      </c>
      <c r="D48">
        <f>Summary38[[#This Row],[risk_weight]]+Summary38[[#This Row],[stuctural_risk]]</f>
        <v>0.8</v>
      </c>
      <c r="E48">
        <f>_xlfn.XLOOKUP(Summary38[[#This Row],[loan_id]],[1]!Risk2[loan_id],[1]!Risk2[total_risk])</f>
        <v>0.8</v>
      </c>
      <c r="F48" s="3">
        <f>Summary38[[#This Row],[total_risk_M03]]-Summary38[[#This Row],[total_risk_M02]]</f>
        <v>0</v>
      </c>
      <c r="G48" t="str">
        <f>_xlfn.XLOOKUP(Summary38[[#This Row],[loan_id]],[1]!Loans[loan_id],[1]!Loans[loan_size_band])</f>
        <v>Large</v>
      </c>
    </row>
    <row r="49" spans="1:7" x14ac:dyDescent="0.25">
      <c r="A49" t="s">
        <v>53</v>
      </c>
      <c r="B49">
        <f>IF([1]!Repayment3[[#This Row],[payment_status]]="Full",0,IF([1]!Repayment3[[#This Row],[payment_status]]="Partial",0.5,1))</f>
        <v>0</v>
      </c>
      <c r="C49">
        <f>_xlfn.XLOOKUP(Summary38[[#This Row],[loan_id]],[1]!Loans[loan_id],[1]!Loans[structural_risk])</f>
        <v>0.8</v>
      </c>
      <c r="D49">
        <f>Summary38[[#This Row],[risk_weight]]+Summary38[[#This Row],[stuctural_risk]]</f>
        <v>0.8</v>
      </c>
      <c r="E49">
        <f>_xlfn.XLOOKUP(Summary38[[#This Row],[loan_id]],[1]!Risk2[loan_id],[1]!Risk2[total_risk])</f>
        <v>1.3</v>
      </c>
      <c r="F49" s="3">
        <f>Summary38[[#This Row],[total_risk_M03]]-Summary38[[#This Row],[total_risk_M02]]</f>
        <v>-0.5</v>
      </c>
      <c r="G49" t="str">
        <f>_xlfn.XLOOKUP(Summary38[[#This Row],[loan_id]],[1]!Loans[loan_id],[1]!Loans[loan_size_band])</f>
        <v>Large</v>
      </c>
    </row>
    <row r="50" spans="1:7" x14ac:dyDescent="0.25">
      <c r="A50" t="s">
        <v>54</v>
      </c>
      <c r="B50">
        <f>IF([1]!Repayment3[[#This Row],[payment_status]]="Full",0,IF([1]!Repayment3[[#This Row],[payment_status]]="Partial",0.5,1))</f>
        <v>0</v>
      </c>
      <c r="C50">
        <f>_xlfn.XLOOKUP(Summary38[[#This Row],[loan_id]],[1]!Loans[loan_id],[1]!Loans[structural_risk])</f>
        <v>0.8</v>
      </c>
      <c r="D50">
        <f>Summary38[[#This Row],[risk_weight]]+Summary38[[#This Row],[stuctural_risk]]</f>
        <v>0.8</v>
      </c>
      <c r="E50">
        <f>_xlfn.XLOOKUP(Summary38[[#This Row],[loan_id]],[1]!Risk2[loan_id],[1]!Risk2[total_risk])</f>
        <v>1.3</v>
      </c>
      <c r="F50" s="3">
        <f>Summary38[[#This Row],[total_risk_M03]]-Summary38[[#This Row],[total_risk_M02]]</f>
        <v>-0.5</v>
      </c>
      <c r="G50" t="str">
        <f>_xlfn.XLOOKUP(Summary38[[#This Row],[loan_id]],[1]!Loans[loan_id],[1]!Loans[loan_size_band])</f>
        <v>Large</v>
      </c>
    </row>
    <row r="51" spans="1:7" x14ac:dyDescent="0.25">
      <c r="A51" t="s">
        <v>55</v>
      </c>
      <c r="B51">
        <f>IF([1]!Repayment3[[#This Row],[payment_status]]="Full",0,IF([1]!Repayment3[[#This Row],[payment_status]]="Partial",0.5,1))</f>
        <v>0</v>
      </c>
      <c r="C51">
        <f>_xlfn.XLOOKUP(Summary38[[#This Row],[loan_id]],[1]!Loans[loan_id],[1]!Loans[structural_risk])</f>
        <v>0.8</v>
      </c>
      <c r="D51">
        <f>Summary38[[#This Row],[risk_weight]]+Summary38[[#This Row],[stuctural_risk]]</f>
        <v>0.8</v>
      </c>
      <c r="E51">
        <f>_xlfn.XLOOKUP(Summary38[[#This Row],[loan_id]],[1]!Risk2[loan_id],[1]!Risk2[total_risk])</f>
        <v>1.3</v>
      </c>
      <c r="F51" s="3">
        <f>Summary38[[#This Row],[total_risk_M03]]-Summary38[[#This Row],[total_risk_M02]]</f>
        <v>-0.5</v>
      </c>
      <c r="G51" t="str">
        <f>_xlfn.XLOOKUP(Summary38[[#This Row],[loan_id]],[1]!Loans[loan_id],[1]!Loans[loan_size_band])</f>
        <v>Large</v>
      </c>
    </row>
    <row r="52" spans="1:7" x14ac:dyDescent="0.25">
      <c r="A52" t="s">
        <v>56</v>
      </c>
      <c r="B52">
        <f>IF([1]!Repayment3[[#This Row],[payment_status]]="Full",0,IF([1]!Repayment3[[#This Row],[payment_status]]="Partial",0.5,1))</f>
        <v>0</v>
      </c>
      <c r="C52">
        <f>_xlfn.XLOOKUP(Summary38[[#This Row],[loan_id]],[1]!Loans[loan_id],[1]!Loans[structural_risk])</f>
        <v>0.8</v>
      </c>
      <c r="D52">
        <f>Summary38[[#This Row],[risk_weight]]+Summary38[[#This Row],[stuctural_risk]]</f>
        <v>0.8</v>
      </c>
      <c r="E52">
        <f>_xlfn.XLOOKUP(Summary38[[#This Row],[loan_id]],[1]!Risk2[loan_id],[1]!Risk2[total_risk])</f>
        <v>1.3</v>
      </c>
      <c r="F52" s="3">
        <f>Summary38[[#This Row],[total_risk_M03]]-Summary38[[#This Row],[total_risk_M02]]</f>
        <v>-0.5</v>
      </c>
      <c r="G52" t="str">
        <f>_xlfn.XLOOKUP(Summary38[[#This Row],[loan_id]],[1]!Loans[loan_id],[1]!Loans[loan_size_band])</f>
        <v>Large</v>
      </c>
    </row>
    <row r="53" spans="1:7" x14ac:dyDescent="0.25">
      <c r="A53" t="s">
        <v>57</v>
      </c>
      <c r="B53">
        <f>IF([1]!Repayment3[[#This Row],[payment_status]]="Full",0,IF([1]!Repayment3[[#This Row],[payment_status]]="Partial",0.5,1))</f>
        <v>0</v>
      </c>
      <c r="C53">
        <f>_xlfn.XLOOKUP(Summary38[[#This Row],[loan_id]],[1]!Loans[loan_id],[1]!Loans[structural_risk])</f>
        <v>0.8</v>
      </c>
      <c r="D53">
        <f>Summary38[[#This Row],[risk_weight]]+Summary38[[#This Row],[stuctural_risk]]</f>
        <v>0.8</v>
      </c>
      <c r="E53">
        <f>_xlfn.XLOOKUP(Summary38[[#This Row],[loan_id]],[1]!Risk2[loan_id],[1]!Risk2[total_risk])</f>
        <v>1.3</v>
      </c>
      <c r="F53" s="3">
        <f>Summary38[[#This Row],[total_risk_M03]]-Summary38[[#This Row],[total_risk_M02]]</f>
        <v>-0.5</v>
      </c>
      <c r="G53" t="str">
        <f>_xlfn.XLOOKUP(Summary38[[#This Row],[loan_id]],[1]!Loans[loan_id],[1]!Loans[loan_size_band])</f>
        <v>Large</v>
      </c>
    </row>
    <row r="54" spans="1:7" x14ac:dyDescent="0.25">
      <c r="A54" t="s">
        <v>58</v>
      </c>
      <c r="B54">
        <f>IF([1]!Repayment3[[#This Row],[payment_status]]="Full",0,IF([1]!Repayment3[[#This Row],[payment_status]]="Partial",0.5,1))</f>
        <v>0</v>
      </c>
      <c r="C54">
        <f>_xlfn.XLOOKUP(Summary38[[#This Row],[loan_id]],[1]!Loans[loan_id],[1]!Loans[structural_risk])</f>
        <v>0.8</v>
      </c>
      <c r="D54">
        <f>Summary38[[#This Row],[risk_weight]]+Summary38[[#This Row],[stuctural_risk]]</f>
        <v>0.8</v>
      </c>
      <c r="E54">
        <f>_xlfn.XLOOKUP(Summary38[[#This Row],[loan_id]],[1]!Risk2[loan_id],[1]!Risk2[total_risk])</f>
        <v>1.3</v>
      </c>
      <c r="F54" s="3">
        <f>Summary38[[#This Row],[total_risk_M03]]-Summary38[[#This Row],[total_risk_M02]]</f>
        <v>-0.5</v>
      </c>
      <c r="G54" t="str">
        <f>_xlfn.XLOOKUP(Summary38[[#This Row],[loan_id]],[1]!Loans[loan_id],[1]!Loans[loan_size_band])</f>
        <v>Large</v>
      </c>
    </row>
    <row r="55" spans="1:7" x14ac:dyDescent="0.25">
      <c r="A55" t="s">
        <v>59</v>
      </c>
      <c r="B55">
        <f>IF([1]!Repayment3[[#This Row],[payment_status]]="Full",0,IF([1]!Repayment3[[#This Row],[payment_status]]="Partial",0.5,1))</f>
        <v>0</v>
      </c>
      <c r="C55">
        <f>_xlfn.XLOOKUP(Summary38[[#This Row],[loan_id]],[1]!Loans[loan_id],[1]!Loans[structural_risk])</f>
        <v>0.8</v>
      </c>
      <c r="D55">
        <f>Summary38[[#This Row],[risk_weight]]+Summary38[[#This Row],[stuctural_risk]]</f>
        <v>0.8</v>
      </c>
      <c r="E55">
        <f>_xlfn.XLOOKUP(Summary38[[#This Row],[loan_id]],[1]!Risk2[loan_id],[1]!Risk2[total_risk])</f>
        <v>1.3</v>
      </c>
      <c r="F55" s="3">
        <f>Summary38[[#This Row],[total_risk_M03]]-Summary38[[#This Row],[total_risk_M02]]</f>
        <v>-0.5</v>
      </c>
      <c r="G55" t="str">
        <f>_xlfn.XLOOKUP(Summary38[[#This Row],[loan_id]],[1]!Loans[loan_id],[1]!Loans[loan_size_band])</f>
        <v>Large</v>
      </c>
    </row>
    <row r="56" spans="1:7" x14ac:dyDescent="0.25">
      <c r="A56" t="s">
        <v>60</v>
      </c>
      <c r="B56">
        <f>IF([1]!Repayment3[[#This Row],[payment_status]]="Full",0,IF([1]!Repayment3[[#This Row],[payment_status]]="Partial",0.5,1))</f>
        <v>0</v>
      </c>
      <c r="C56">
        <f>_xlfn.XLOOKUP(Summary38[[#This Row],[loan_id]],[1]!Loans[loan_id],[1]!Loans[structural_risk])</f>
        <v>0.8</v>
      </c>
      <c r="D56">
        <f>Summary38[[#This Row],[risk_weight]]+Summary38[[#This Row],[stuctural_risk]]</f>
        <v>0.8</v>
      </c>
      <c r="E56">
        <f>_xlfn.XLOOKUP(Summary38[[#This Row],[loan_id]],[1]!Risk2[loan_id],[1]!Risk2[total_risk])</f>
        <v>1.3</v>
      </c>
      <c r="F56" s="3">
        <f>Summary38[[#This Row],[total_risk_M03]]-Summary38[[#This Row],[total_risk_M02]]</f>
        <v>-0.5</v>
      </c>
      <c r="G56" t="str">
        <f>_xlfn.XLOOKUP(Summary38[[#This Row],[loan_id]],[1]!Loans[loan_id],[1]!Loans[loan_size_band])</f>
        <v>Large</v>
      </c>
    </row>
    <row r="57" spans="1:7" x14ac:dyDescent="0.25">
      <c r="A57" t="s">
        <v>61</v>
      </c>
      <c r="B57">
        <f>IF([1]!Repayment3[[#This Row],[payment_status]]="Full",0,IF([1]!Repayment3[[#This Row],[payment_status]]="Partial",0.5,1))</f>
        <v>0</v>
      </c>
      <c r="C57">
        <f>_xlfn.XLOOKUP(Summary38[[#This Row],[loan_id]],[1]!Loans[loan_id],[1]!Loans[structural_risk])</f>
        <v>0.8</v>
      </c>
      <c r="D57">
        <f>Summary38[[#This Row],[risk_weight]]+Summary38[[#This Row],[stuctural_risk]]</f>
        <v>0.8</v>
      </c>
      <c r="E57">
        <f>_xlfn.XLOOKUP(Summary38[[#This Row],[loan_id]],[1]!Risk2[loan_id],[1]!Risk2[total_risk])</f>
        <v>1.3</v>
      </c>
      <c r="F57" s="3">
        <f>Summary38[[#This Row],[total_risk_M03]]-Summary38[[#This Row],[total_risk_M02]]</f>
        <v>-0.5</v>
      </c>
      <c r="G57" t="str">
        <f>_xlfn.XLOOKUP(Summary38[[#This Row],[loan_id]],[1]!Loans[loan_id],[1]!Loans[loan_size_band])</f>
        <v>Large</v>
      </c>
    </row>
    <row r="58" spans="1:7" x14ac:dyDescent="0.25">
      <c r="A58" t="s">
        <v>62</v>
      </c>
      <c r="B58">
        <f>IF([1]!Repayment3[[#This Row],[payment_status]]="Full",0,IF([1]!Repayment3[[#This Row],[payment_status]]="Partial",0.5,1))</f>
        <v>0</v>
      </c>
      <c r="C58">
        <f>_xlfn.XLOOKUP(Summary38[[#This Row],[loan_id]],[1]!Loans[loan_id],[1]!Loans[structural_risk])</f>
        <v>0.8</v>
      </c>
      <c r="D58">
        <f>Summary38[[#This Row],[risk_weight]]+Summary38[[#This Row],[stuctural_risk]]</f>
        <v>0.8</v>
      </c>
      <c r="E58">
        <f>_xlfn.XLOOKUP(Summary38[[#This Row],[loan_id]],[1]!Risk2[loan_id],[1]!Risk2[total_risk])</f>
        <v>1.3</v>
      </c>
      <c r="F58" s="3">
        <f>Summary38[[#This Row],[total_risk_M03]]-Summary38[[#This Row],[total_risk_M02]]</f>
        <v>-0.5</v>
      </c>
      <c r="G58" t="str">
        <f>_xlfn.XLOOKUP(Summary38[[#This Row],[loan_id]],[1]!Loans[loan_id],[1]!Loans[loan_size_band])</f>
        <v>Large</v>
      </c>
    </row>
    <row r="59" spans="1:7" x14ac:dyDescent="0.25">
      <c r="A59" t="s">
        <v>63</v>
      </c>
      <c r="B59">
        <f>IF([1]!Repayment3[[#This Row],[payment_status]]="Full",0,IF([1]!Repayment3[[#This Row],[payment_status]]="Partial",0.5,1))</f>
        <v>0</v>
      </c>
      <c r="C59">
        <f>_xlfn.XLOOKUP(Summary38[[#This Row],[loan_id]],[1]!Loans[loan_id],[1]!Loans[structural_risk])</f>
        <v>0.8</v>
      </c>
      <c r="D59">
        <f>Summary38[[#This Row],[risk_weight]]+Summary38[[#This Row],[stuctural_risk]]</f>
        <v>0.8</v>
      </c>
      <c r="E59">
        <f>_xlfn.XLOOKUP(Summary38[[#This Row],[loan_id]],[1]!Risk2[loan_id],[1]!Risk2[total_risk])</f>
        <v>1.3</v>
      </c>
      <c r="F59" s="3">
        <f>Summary38[[#This Row],[total_risk_M03]]-Summary38[[#This Row],[total_risk_M02]]</f>
        <v>-0.5</v>
      </c>
      <c r="G59" t="str">
        <f>_xlfn.XLOOKUP(Summary38[[#This Row],[loan_id]],[1]!Loans[loan_id],[1]!Loans[loan_size_band])</f>
        <v>Large</v>
      </c>
    </row>
    <row r="60" spans="1:7" x14ac:dyDescent="0.25">
      <c r="A60" t="s">
        <v>64</v>
      </c>
      <c r="B60">
        <f>IF([1]!Repayment3[[#This Row],[payment_status]]="Full",0,IF([1]!Repayment3[[#This Row],[payment_status]]="Partial",0.5,1))</f>
        <v>0</v>
      </c>
      <c r="C60">
        <f>_xlfn.XLOOKUP(Summary38[[#This Row],[loan_id]],[1]!Loans[loan_id],[1]!Loans[structural_risk])</f>
        <v>0.8</v>
      </c>
      <c r="D60">
        <f>Summary38[[#This Row],[risk_weight]]+Summary38[[#This Row],[stuctural_risk]]</f>
        <v>0.8</v>
      </c>
      <c r="E60">
        <f>_xlfn.XLOOKUP(Summary38[[#This Row],[loan_id]],[1]!Risk2[loan_id],[1]!Risk2[total_risk])</f>
        <v>1.3</v>
      </c>
      <c r="F60" s="3">
        <f>Summary38[[#This Row],[total_risk_M03]]-Summary38[[#This Row],[total_risk_M02]]</f>
        <v>-0.5</v>
      </c>
      <c r="G60" t="str">
        <f>_xlfn.XLOOKUP(Summary38[[#This Row],[loan_id]],[1]!Loans[loan_id],[1]!Loans[loan_size_band])</f>
        <v>Large</v>
      </c>
    </row>
    <row r="61" spans="1:7" x14ac:dyDescent="0.25">
      <c r="A61" t="s">
        <v>65</v>
      </c>
      <c r="B61">
        <f>IF([1]!Repayment3[[#This Row],[payment_status]]="Full",0,IF([1]!Repayment3[[#This Row],[payment_status]]="Partial",0.5,1))</f>
        <v>0</v>
      </c>
      <c r="C61">
        <f>_xlfn.XLOOKUP(Summary38[[#This Row],[loan_id]],[1]!Loans[loan_id],[1]!Loans[structural_risk])</f>
        <v>0.8</v>
      </c>
      <c r="D61">
        <f>Summary38[[#This Row],[risk_weight]]+Summary38[[#This Row],[stuctural_risk]]</f>
        <v>0.8</v>
      </c>
      <c r="E61">
        <f>_xlfn.XLOOKUP(Summary38[[#This Row],[loan_id]],[1]!Risk2[loan_id],[1]!Risk2[total_risk])</f>
        <v>1.3</v>
      </c>
      <c r="F61" s="3">
        <f>Summary38[[#This Row],[total_risk_M03]]-Summary38[[#This Row],[total_risk_M02]]</f>
        <v>-0.5</v>
      </c>
      <c r="G61" t="str">
        <f>_xlfn.XLOOKUP(Summary38[[#This Row],[loan_id]],[1]!Loans[loan_id],[1]!Loans[loan_size_band])</f>
        <v>Large</v>
      </c>
    </row>
    <row r="62" spans="1:7" x14ac:dyDescent="0.25">
      <c r="A62" t="s">
        <v>66</v>
      </c>
      <c r="B62">
        <f>IF([1]!Repayment3[[#This Row],[payment_status]]="Full",0,IF([1]!Repayment3[[#This Row],[payment_status]]="Partial",0.5,1))</f>
        <v>0</v>
      </c>
      <c r="C62">
        <f>_xlfn.XLOOKUP(Summary38[[#This Row],[loan_id]],[1]!Loans[loan_id],[1]!Loans[structural_risk])</f>
        <v>0.8</v>
      </c>
      <c r="D62">
        <f>Summary38[[#This Row],[risk_weight]]+Summary38[[#This Row],[stuctural_risk]]</f>
        <v>0.8</v>
      </c>
      <c r="E62">
        <f>_xlfn.XLOOKUP(Summary38[[#This Row],[loan_id]],[1]!Risk2[loan_id],[1]!Risk2[total_risk])</f>
        <v>1.3</v>
      </c>
      <c r="F62" s="3">
        <f>Summary38[[#This Row],[total_risk_M03]]-Summary38[[#This Row],[total_risk_M02]]</f>
        <v>-0.5</v>
      </c>
      <c r="G62" t="str">
        <f>_xlfn.XLOOKUP(Summary38[[#This Row],[loan_id]],[1]!Loans[loan_id],[1]!Loans[loan_size_band])</f>
        <v>Large</v>
      </c>
    </row>
    <row r="63" spans="1:7" x14ac:dyDescent="0.25">
      <c r="A63" t="s">
        <v>67</v>
      </c>
      <c r="B63">
        <f>IF([1]!Repayment3[[#This Row],[payment_status]]="Full",0,IF([1]!Repayment3[[#This Row],[payment_status]]="Partial",0.5,1))</f>
        <v>0</v>
      </c>
      <c r="C63">
        <f>_xlfn.XLOOKUP(Summary38[[#This Row],[loan_id]],[1]!Loans[loan_id],[1]!Loans[structural_risk])</f>
        <v>0.8</v>
      </c>
      <c r="D63">
        <f>Summary38[[#This Row],[risk_weight]]+Summary38[[#This Row],[stuctural_risk]]</f>
        <v>0.8</v>
      </c>
      <c r="E63">
        <f>_xlfn.XLOOKUP(Summary38[[#This Row],[loan_id]],[1]!Risk2[loan_id],[1]!Risk2[total_risk])</f>
        <v>1.3</v>
      </c>
      <c r="F63" s="3">
        <f>Summary38[[#This Row],[total_risk_M03]]-Summary38[[#This Row],[total_risk_M02]]</f>
        <v>-0.5</v>
      </c>
      <c r="G63" t="str">
        <f>_xlfn.XLOOKUP(Summary38[[#This Row],[loan_id]],[1]!Loans[loan_id],[1]!Loans[loan_size_band])</f>
        <v>Large</v>
      </c>
    </row>
    <row r="64" spans="1:7" x14ac:dyDescent="0.25">
      <c r="A64" t="s">
        <v>68</v>
      </c>
      <c r="B64">
        <f>IF([1]!Repayment3[[#This Row],[payment_status]]="Full",0,IF([1]!Repayment3[[#This Row],[payment_status]]="Partial",0.5,1))</f>
        <v>0</v>
      </c>
      <c r="C64">
        <f>_xlfn.XLOOKUP(Summary38[[#This Row],[loan_id]],[1]!Loans[loan_id],[1]!Loans[structural_risk])</f>
        <v>0.8</v>
      </c>
      <c r="D64">
        <f>Summary38[[#This Row],[risk_weight]]+Summary38[[#This Row],[stuctural_risk]]</f>
        <v>0.8</v>
      </c>
      <c r="E64">
        <f>_xlfn.XLOOKUP(Summary38[[#This Row],[loan_id]],[1]!Risk2[loan_id],[1]!Risk2[total_risk])</f>
        <v>1.3</v>
      </c>
      <c r="F64" s="3">
        <f>Summary38[[#This Row],[total_risk_M03]]-Summary38[[#This Row],[total_risk_M02]]</f>
        <v>-0.5</v>
      </c>
      <c r="G64" t="str">
        <f>_xlfn.XLOOKUP(Summary38[[#This Row],[loan_id]],[1]!Loans[loan_id],[1]!Loans[loan_size_band])</f>
        <v>Large</v>
      </c>
    </row>
    <row r="65" spans="1:7" x14ac:dyDescent="0.25">
      <c r="A65" t="s">
        <v>69</v>
      </c>
      <c r="B65">
        <f>IF([1]!Repayment3[[#This Row],[payment_status]]="Full",0,IF([1]!Repayment3[[#This Row],[payment_status]]="Partial",0.5,1))</f>
        <v>0</v>
      </c>
      <c r="C65">
        <f>_xlfn.XLOOKUP(Summary38[[#This Row],[loan_id]],[1]!Loans[loan_id],[1]!Loans[structural_risk])</f>
        <v>0.8</v>
      </c>
      <c r="D65">
        <f>Summary38[[#This Row],[risk_weight]]+Summary38[[#This Row],[stuctural_risk]]</f>
        <v>0.8</v>
      </c>
      <c r="E65">
        <f>_xlfn.XLOOKUP(Summary38[[#This Row],[loan_id]],[1]!Risk2[loan_id],[1]!Risk2[total_risk])</f>
        <v>1.3</v>
      </c>
      <c r="F65" s="3">
        <f>Summary38[[#This Row],[total_risk_M03]]-Summary38[[#This Row],[total_risk_M02]]</f>
        <v>-0.5</v>
      </c>
      <c r="G65" t="str">
        <f>_xlfn.XLOOKUP(Summary38[[#This Row],[loan_id]],[1]!Loans[loan_id],[1]!Loans[loan_size_band])</f>
        <v>Large</v>
      </c>
    </row>
    <row r="66" spans="1:7" x14ac:dyDescent="0.25">
      <c r="A66" t="s">
        <v>70</v>
      </c>
      <c r="B66">
        <f>IF([1]!Repayment3[[#This Row],[payment_status]]="Full",0,IF([1]!Repayment3[[#This Row],[payment_status]]="Partial",0.5,1))</f>
        <v>0</v>
      </c>
      <c r="C66">
        <f>_xlfn.XLOOKUP(Summary38[[#This Row],[loan_id]],[1]!Loans[loan_id],[1]!Loans[structural_risk])</f>
        <v>0.8</v>
      </c>
      <c r="D66">
        <f>Summary38[[#This Row],[risk_weight]]+Summary38[[#This Row],[stuctural_risk]]</f>
        <v>0.8</v>
      </c>
      <c r="E66">
        <f>_xlfn.XLOOKUP(Summary38[[#This Row],[loan_id]],[1]!Risk2[loan_id],[1]!Risk2[total_risk])</f>
        <v>1.3</v>
      </c>
      <c r="F66" s="3">
        <f>Summary38[[#This Row],[total_risk_M03]]-Summary38[[#This Row],[total_risk_M02]]</f>
        <v>-0.5</v>
      </c>
      <c r="G66" t="str">
        <f>_xlfn.XLOOKUP(Summary38[[#This Row],[loan_id]],[1]!Loans[loan_id],[1]!Loans[loan_size_band])</f>
        <v>Large</v>
      </c>
    </row>
    <row r="67" spans="1:7" x14ac:dyDescent="0.25">
      <c r="A67" t="s">
        <v>71</v>
      </c>
      <c r="B67">
        <f>IF([1]!Repayment3[[#This Row],[payment_status]]="Full",0,IF([1]!Repayment3[[#This Row],[payment_status]]="Partial",0.5,1))</f>
        <v>0</v>
      </c>
      <c r="C67">
        <f>_xlfn.XLOOKUP(Summary38[[#This Row],[loan_id]],[1]!Loans[loan_id],[1]!Loans[structural_risk])</f>
        <v>0.8</v>
      </c>
      <c r="D67">
        <f>Summary38[[#This Row],[risk_weight]]+Summary38[[#This Row],[stuctural_risk]]</f>
        <v>0.8</v>
      </c>
      <c r="E67">
        <f>_xlfn.XLOOKUP(Summary38[[#This Row],[loan_id]],[1]!Risk2[loan_id],[1]!Risk2[total_risk])</f>
        <v>1.3</v>
      </c>
      <c r="F67" s="3">
        <f>Summary38[[#This Row],[total_risk_M03]]-Summary38[[#This Row],[total_risk_M02]]</f>
        <v>-0.5</v>
      </c>
      <c r="G67" t="str">
        <f>_xlfn.XLOOKUP(Summary38[[#This Row],[loan_id]],[1]!Loans[loan_id],[1]!Loans[loan_size_band])</f>
        <v>Large</v>
      </c>
    </row>
    <row r="68" spans="1:7" x14ac:dyDescent="0.25">
      <c r="A68" t="s">
        <v>72</v>
      </c>
      <c r="B68">
        <f>IF([1]!Repayment3[[#This Row],[payment_status]]="Full",0,IF([1]!Repayment3[[#This Row],[payment_status]]="Partial",0.5,1))</f>
        <v>0</v>
      </c>
      <c r="C68">
        <f>_xlfn.XLOOKUP(Summary38[[#This Row],[loan_id]],[1]!Loans[loan_id],[1]!Loans[structural_risk])</f>
        <v>0.5</v>
      </c>
      <c r="D68">
        <f>Summary38[[#This Row],[risk_weight]]+Summary38[[#This Row],[stuctural_risk]]</f>
        <v>0.5</v>
      </c>
      <c r="E68">
        <f>_xlfn.XLOOKUP(Summary38[[#This Row],[loan_id]],[1]!Risk2[loan_id],[1]!Risk2[total_risk])</f>
        <v>1</v>
      </c>
      <c r="F68" s="3">
        <f>Summary38[[#This Row],[total_risk_M03]]-Summary38[[#This Row],[total_risk_M02]]</f>
        <v>-0.5</v>
      </c>
      <c r="G68" t="str">
        <f>_xlfn.XLOOKUP(Summary38[[#This Row],[loan_id]],[1]!Loans[loan_id],[1]!Loans[loan_size_band])</f>
        <v>Medium</v>
      </c>
    </row>
    <row r="69" spans="1:7" x14ac:dyDescent="0.25">
      <c r="A69" t="s">
        <v>73</v>
      </c>
      <c r="B69">
        <f>IF([1]!Repayment3[[#This Row],[payment_status]]="Full",0,IF([1]!Repayment3[[#This Row],[payment_status]]="Partial",0.5,1))</f>
        <v>0</v>
      </c>
      <c r="C69">
        <f>_xlfn.XLOOKUP(Summary38[[#This Row],[loan_id]],[1]!Loans[loan_id],[1]!Loans[structural_risk])</f>
        <v>0.5</v>
      </c>
      <c r="D69">
        <f>Summary38[[#This Row],[risk_weight]]+Summary38[[#This Row],[stuctural_risk]]</f>
        <v>0.5</v>
      </c>
      <c r="E69">
        <f>_xlfn.XLOOKUP(Summary38[[#This Row],[loan_id]],[1]!Risk2[loan_id],[1]!Risk2[total_risk])</f>
        <v>1</v>
      </c>
      <c r="F69" s="3">
        <f>Summary38[[#This Row],[total_risk_M03]]-Summary38[[#This Row],[total_risk_M02]]</f>
        <v>-0.5</v>
      </c>
      <c r="G69" t="str">
        <f>_xlfn.XLOOKUP(Summary38[[#This Row],[loan_id]],[1]!Loans[loan_id],[1]!Loans[loan_size_band])</f>
        <v>Medium</v>
      </c>
    </row>
    <row r="70" spans="1:7" x14ac:dyDescent="0.25">
      <c r="A70" t="s">
        <v>74</v>
      </c>
      <c r="B70">
        <f>IF([1]!Repayment3[[#This Row],[payment_status]]="Full",0,IF([1]!Repayment3[[#This Row],[payment_status]]="Partial",0.5,1))</f>
        <v>0</v>
      </c>
      <c r="C70">
        <f>_xlfn.XLOOKUP(Summary38[[#This Row],[loan_id]],[1]!Loans[loan_id],[1]!Loans[structural_risk])</f>
        <v>0.8</v>
      </c>
      <c r="D70">
        <f>Summary38[[#This Row],[risk_weight]]+Summary38[[#This Row],[stuctural_risk]]</f>
        <v>0.8</v>
      </c>
      <c r="E70">
        <f>_xlfn.XLOOKUP(Summary38[[#This Row],[loan_id]],[1]!Risk2[loan_id],[1]!Risk2[total_risk])</f>
        <v>0.8</v>
      </c>
      <c r="F70" s="3">
        <f>Summary38[[#This Row],[total_risk_M03]]-Summary38[[#This Row],[total_risk_M02]]</f>
        <v>0</v>
      </c>
      <c r="G70" t="str">
        <f>_xlfn.XLOOKUP(Summary38[[#This Row],[loan_id]],[1]!Loans[loan_id],[1]!Loans[loan_size_band])</f>
        <v>Large</v>
      </c>
    </row>
    <row r="71" spans="1:7" x14ac:dyDescent="0.25">
      <c r="A71" t="s">
        <v>75</v>
      </c>
      <c r="B71">
        <f>IF([1]!Repayment3[[#This Row],[payment_status]]="Full",0,IF([1]!Repayment3[[#This Row],[payment_status]]="Partial",0.5,1))</f>
        <v>0</v>
      </c>
      <c r="C71">
        <f>_xlfn.XLOOKUP(Summary38[[#This Row],[loan_id]],[1]!Loans[loan_id],[1]!Loans[structural_risk])</f>
        <v>0.8</v>
      </c>
      <c r="D71">
        <f>Summary38[[#This Row],[risk_weight]]+Summary38[[#This Row],[stuctural_risk]]</f>
        <v>0.8</v>
      </c>
      <c r="E71">
        <f>_xlfn.XLOOKUP(Summary38[[#This Row],[loan_id]],[1]!Risk2[loan_id],[1]!Risk2[total_risk])</f>
        <v>0.8</v>
      </c>
      <c r="F71" s="3">
        <f>Summary38[[#This Row],[total_risk_M03]]-Summary38[[#This Row],[total_risk_M02]]</f>
        <v>0</v>
      </c>
      <c r="G71" t="str">
        <f>_xlfn.XLOOKUP(Summary38[[#This Row],[loan_id]],[1]!Loans[loan_id],[1]!Loans[loan_size_band])</f>
        <v>Large</v>
      </c>
    </row>
    <row r="72" spans="1:7" x14ac:dyDescent="0.25">
      <c r="A72" t="s">
        <v>76</v>
      </c>
      <c r="B72">
        <f>IF([1]!Repayment3[[#This Row],[payment_status]]="Full",0,IF([1]!Repayment3[[#This Row],[payment_status]]="Partial",0.5,1))</f>
        <v>0</v>
      </c>
      <c r="C72">
        <f>_xlfn.XLOOKUP(Summary38[[#This Row],[loan_id]],[1]!Loans[loan_id],[1]!Loans[structural_risk])</f>
        <v>0.8</v>
      </c>
      <c r="D72">
        <f>Summary38[[#This Row],[risk_weight]]+Summary38[[#This Row],[stuctural_risk]]</f>
        <v>0.8</v>
      </c>
      <c r="E72">
        <f>_xlfn.XLOOKUP(Summary38[[#This Row],[loan_id]],[1]!Risk2[loan_id],[1]!Risk2[total_risk])</f>
        <v>0.8</v>
      </c>
      <c r="F72" s="3">
        <f>Summary38[[#This Row],[total_risk_M03]]-Summary38[[#This Row],[total_risk_M02]]</f>
        <v>0</v>
      </c>
      <c r="G72" t="str">
        <f>_xlfn.XLOOKUP(Summary38[[#This Row],[loan_id]],[1]!Loans[loan_id],[1]!Loans[loan_size_band])</f>
        <v>Large</v>
      </c>
    </row>
    <row r="73" spans="1:7" x14ac:dyDescent="0.25">
      <c r="A73" t="s">
        <v>77</v>
      </c>
      <c r="B73">
        <f>IF([1]!Repayment3[[#This Row],[payment_status]]="Full",0,IF([1]!Repayment3[[#This Row],[payment_status]]="Partial",0.5,1))</f>
        <v>0</v>
      </c>
      <c r="C73">
        <f>_xlfn.XLOOKUP(Summary38[[#This Row],[loan_id]],[1]!Loans[loan_id],[1]!Loans[structural_risk])</f>
        <v>0.8</v>
      </c>
      <c r="D73">
        <f>Summary38[[#This Row],[risk_weight]]+Summary38[[#This Row],[stuctural_risk]]</f>
        <v>0.8</v>
      </c>
      <c r="E73">
        <f>_xlfn.XLOOKUP(Summary38[[#This Row],[loan_id]],[1]!Risk2[loan_id],[1]!Risk2[total_risk])</f>
        <v>0.8</v>
      </c>
      <c r="F73" s="3">
        <f>Summary38[[#This Row],[total_risk_M03]]-Summary38[[#This Row],[total_risk_M02]]</f>
        <v>0</v>
      </c>
      <c r="G73" t="str">
        <f>_xlfn.XLOOKUP(Summary38[[#This Row],[loan_id]],[1]!Loans[loan_id],[1]!Loans[loan_size_band])</f>
        <v>Large</v>
      </c>
    </row>
    <row r="74" spans="1:7" x14ac:dyDescent="0.25">
      <c r="A74" t="s">
        <v>78</v>
      </c>
      <c r="B74">
        <f>IF([1]!Repayment3[[#This Row],[payment_status]]="Full",0,IF([1]!Repayment3[[#This Row],[payment_status]]="Partial",0.5,1))</f>
        <v>0</v>
      </c>
      <c r="C74">
        <f>_xlfn.XLOOKUP(Summary38[[#This Row],[loan_id]],[1]!Loans[loan_id],[1]!Loans[structural_risk])</f>
        <v>0.8</v>
      </c>
      <c r="D74">
        <f>Summary38[[#This Row],[risk_weight]]+Summary38[[#This Row],[stuctural_risk]]</f>
        <v>0.8</v>
      </c>
      <c r="E74">
        <f>_xlfn.XLOOKUP(Summary38[[#This Row],[loan_id]],[1]!Risk2[loan_id],[1]!Risk2[total_risk])</f>
        <v>0.8</v>
      </c>
      <c r="F74" s="3">
        <f>Summary38[[#This Row],[total_risk_M03]]-Summary38[[#This Row],[total_risk_M02]]</f>
        <v>0</v>
      </c>
      <c r="G74" t="str">
        <f>_xlfn.XLOOKUP(Summary38[[#This Row],[loan_id]],[1]!Loans[loan_id],[1]!Loans[loan_size_band])</f>
        <v>Large</v>
      </c>
    </row>
    <row r="75" spans="1:7" x14ac:dyDescent="0.25">
      <c r="A75" t="s">
        <v>79</v>
      </c>
      <c r="B75">
        <f>IF([1]!Repayment3[[#This Row],[payment_status]]="Full",0,IF([1]!Repayment3[[#This Row],[payment_status]]="Partial",0.5,1))</f>
        <v>0</v>
      </c>
      <c r="C75">
        <f>_xlfn.XLOOKUP(Summary38[[#This Row],[loan_id]],[1]!Loans[loan_id],[1]!Loans[structural_risk])</f>
        <v>0.8</v>
      </c>
      <c r="D75">
        <f>Summary38[[#This Row],[risk_weight]]+Summary38[[#This Row],[stuctural_risk]]</f>
        <v>0.8</v>
      </c>
      <c r="E75">
        <f>_xlfn.XLOOKUP(Summary38[[#This Row],[loan_id]],[1]!Risk2[loan_id],[1]!Risk2[total_risk])</f>
        <v>0.8</v>
      </c>
      <c r="F75" s="3">
        <f>Summary38[[#This Row],[total_risk_M03]]-Summary38[[#This Row],[total_risk_M02]]</f>
        <v>0</v>
      </c>
      <c r="G75" t="str">
        <f>_xlfn.XLOOKUP(Summary38[[#This Row],[loan_id]],[1]!Loans[loan_id],[1]!Loans[loan_size_band])</f>
        <v>Large</v>
      </c>
    </row>
    <row r="76" spans="1:7" x14ac:dyDescent="0.25">
      <c r="A76" t="s">
        <v>80</v>
      </c>
      <c r="B76">
        <f>IF([1]!Repayment3[[#This Row],[payment_status]]="Full",0,IF([1]!Repayment3[[#This Row],[payment_status]]="Partial",0.5,1))</f>
        <v>0</v>
      </c>
      <c r="C76">
        <f>_xlfn.XLOOKUP(Summary38[[#This Row],[loan_id]],[1]!Loans[loan_id],[1]!Loans[structural_risk])</f>
        <v>0.8</v>
      </c>
      <c r="D76">
        <f>Summary38[[#This Row],[risk_weight]]+Summary38[[#This Row],[stuctural_risk]]</f>
        <v>0.8</v>
      </c>
      <c r="E76">
        <f>_xlfn.XLOOKUP(Summary38[[#This Row],[loan_id]],[1]!Risk2[loan_id],[1]!Risk2[total_risk])</f>
        <v>0.8</v>
      </c>
      <c r="F76" s="3">
        <f>Summary38[[#This Row],[total_risk_M03]]-Summary38[[#This Row],[total_risk_M02]]</f>
        <v>0</v>
      </c>
      <c r="G76" t="str">
        <f>_xlfn.XLOOKUP(Summary38[[#This Row],[loan_id]],[1]!Loans[loan_id],[1]!Loans[loan_size_band])</f>
        <v>Large</v>
      </c>
    </row>
    <row r="77" spans="1:7" x14ac:dyDescent="0.25">
      <c r="A77" t="s">
        <v>81</v>
      </c>
      <c r="B77">
        <f>IF([1]!Repayment3[[#This Row],[payment_status]]="Full",0,IF([1]!Repayment3[[#This Row],[payment_status]]="Partial",0.5,1))</f>
        <v>0</v>
      </c>
      <c r="C77">
        <f>_xlfn.XLOOKUP(Summary38[[#This Row],[loan_id]],[1]!Loans[loan_id],[1]!Loans[structural_risk])</f>
        <v>0.8</v>
      </c>
      <c r="D77">
        <f>Summary38[[#This Row],[risk_weight]]+Summary38[[#This Row],[stuctural_risk]]</f>
        <v>0.8</v>
      </c>
      <c r="E77">
        <f>_xlfn.XLOOKUP(Summary38[[#This Row],[loan_id]],[1]!Risk2[loan_id],[1]!Risk2[total_risk])</f>
        <v>0.8</v>
      </c>
      <c r="F77" s="3">
        <f>Summary38[[#This Row],[total_risk_M03]]-Summary38[[#This Row],[total_risk_M02]]</f>
        <v>0</v>
      </c>
      <c r="G77" t="str">
        <f>_xlfn.XLOOKUP(Summary38[[#This Row],[loan_id]],[1]!Loans[loan_id],[1]!Loans[loan_size_band])</f>
        <v>Large</v>
      </c>
    </row>
    <row r="78" spans="1:7" x14ac:dyDescent="0.25">
      <c r="A78" t="s">
        <v>82</v>
      </c>
      <c r="B78">
        <f>IF([1]!Repayment3[[#This Row],[payment_status]]="Full",0,IF([1]!Repayment3[[#This Row],[payment_status]]="Partial",0.5,1))</f>
        <v>0</v>
      </c>
      <c r="C78">
        <f>_xlfn.XLOOKUP(Summary38[[#This Row],[loan_id]],[1]!Loans[loan_id],[1]!Loans[structural_risk])</f>
        <v>0.8</v>
      </c>
      <c r="D78">
        <f>Summary38[[#This Row],[risk_weight]]+Summary38[[#This Row],[stuctural_risk]]</f>
        <v>0.8</v>
      </c>
      <c r="E78">
        <f>_xlfn.XLOOKUP(Summary38[[#This Row],[loan_id]],[1]!Risk2[loan_id],[1]!Risk2[total_risk])</f>
        <v>0.8</v>
      </c>
      <c r="F78" s="3">
        <f>Summary38[[#This Row],[total_risk_M03]]-Summary38[[#This Row],[total_risk_M02]]</f>
        <v>0</v>
      </c>
      <c r="G78" t="str">
        <f>_xlfn.XLOOKUP(Summary38[[#This Row],[loan_id]],[1]!Loans[loan_id],[1]!Loans[loan_size_band])</f>
        <v>Large</v>
      </c>
    </row>
    <row r="79" spans="1:7" x14ac:dyDescent="0.25">
      <c r="A79" t="s">
        <v>83</v>
      </c>
      <c r="B79">
        <f>IF([1]!Repayment3[[#This Row],[payment_status]]="Full",0,IF([1]!Repayment3[[#This Row],[payment_status]]="Partial",0.5,1))</f>
        <v>0</v>
      </c>
      <c r="C79">
        <f>_xlfn.XLOOKUP(Summary38[[#This Row],[loan_id]],[1]!Loans[loan_id],[1]!Loans[structural_risk])</f>
        <v>0.8</v>
      </c>
      <c r="D79">
        <f>Summary38[[#This Row],[risk_weight]]+Summary38[[#This Row],[stuctural_risk]]</f>
        <v>0.8</v>
      </c>
      <c r="E79">
        <f>_xlfn.XLOOKUP(Summary38[[#This Row],[loan_id]],[1]!Risk2[loan_id],[1]!Risk2[total_risk])</f>
        <v>0.8</v>
      </c>
      <c r="F79" s="3">
        <f>Summary38[[#This Row],[total_risk_M03]]-Summary38[[#This Row],[total_risk_M02]]</f>
        <v>0</v>
      </c>
      <c r="G79" t="str">
        <f>_xlfn.XLOOKUP(Summary38[[#This Row],[loan_id]],[1]!Loans[loan_id],[1]!Loans[loan_size_band])</f>
        <v>Large</v>
      </c>
    </row>
    <row r="80" spans="1:7" x14ac:dyDescent="0.25">
      <c r="A80" t="s">
        <v>84</v>
      </c>
      <c r="B80">
        <f>IF([1]!Repayment3[[#This Row],[payment_status]]="Full",0,IF([1]!Repayment3[[#This Row],[payment_status]]="Partial",0.5,1))</f>
        <v>0</v>
      </c>
      <c r="C80">
        <f>_xlfn.XLOOKUP(Summary38[[#This Row],[loan_id]],[1]!Loans[loan_id],[1]!Loans[structural_risk])</f>
        <v>0.8</v>
      </c>
      <c r="D80">
        <f>Summary38[[#This Row],[risk_weight]]+Summary38[[#This Row],[stuctural_risk]]</f>
        <v>0.8</v>
      </c>
      <c r="E80">
        <f>_xlfn.XLOOKUP(Summary38[[#This Row],[loan_id]],[1]!Risk2[loan_id],[1]!Risk2[total_risk])</f>
        <v>0.8</v>
      </c>
      <c r="F80" s="3">
        <f>Summary38[[#This Row],[total_risk_M03]]-Summary38[[#This Row],[total_risk_M02]]</f>
        <v>0</v>
      </c>
      <c r="G80" t="str">
        <f>_xlfn.XLOOKUP(Summary38[[#This Row],[loan_id]],[1]!Loans[loan_id],[1]!Loans[loan_size_band])</f>
        <v>Large</v>
      </c>
    </row>
    <row r="81" spans="1:7" x14ac:dyDescent="0.25">
      <c r="A81" t="s">
        <v>85</v>
      </c>
      <c r="B81">
        <f>IF([1]!Repayment3[[#This Row],[payment_status]]="Full",0,IF([1]!Repayment3[[#This Row],[payment_status]]="Partial",0.5,1))</f>
        <v>0</v>
      </c>
      <c r="C81">
        <f>_xlfn.XLOOKUP(Summary38[[#This Row],[loan_id]],[1]!Loans[loan_id],[1]!Loans[structural_risk])</f>
        <v>0.8</v>
      </c>
      <c r="D81">
        <f>Summary38[[#This Row],[risk_weight]]+Summary38[[#This Row],[stuctural_risk]]</f>
        <v>0.8</v>
      </c>
      <c r="E81">
        <f>_xlfn.XLOOKUP(Summary38[[#This Row],[loan_id]],[1]!Risk2[loan_id],[1]!Risk2[total_risk])</f>
        <v>0.8</v>
      </c>
      <c r="F81" s="3">
        <f>Summary38[[#This Row],[total_risk_M03]]-Summary38[[#This Row],[total_risk_M02]]</f>
        <v>0</v>
      </c>
      <c r="G81" t="str">
        <f>_xlfn.XLOOKUP(Summary38[[#This Row],[loan_id]],[1]!Loans[loan_id],[1]!Loans[loan_size_band])</f>
        <v>Large</v>
      </c>
    </row>
    <row r="82" spans="1:7" x14ac:dyDescent="0.25">
      <c r="A82" t="s">
        <v>86</v>
      </c>
      <c r="B82">
        <f>IF([1]!Repayment3[[#This Row],[payment_status]]="Full",0,IF([1]!Repayment3[[#This Row],[payment_status]]="Partial",0.5,1))</f>
        <v>0</v>
      </c>
      <c r="C82">
        <f>_xlfn.XLOOKUP(Summary38[[#This Row],[loan_id]],[1]!Loans[loan_id],[1]!Loans[structural_risk])</f>
        <v>0.8</v>
      </c>
      <c r="D82">
        <f>Summary38[[#This Row],[risk_weight]]+Summary38[[#This Row],[stuctural_risk]]</f>
        <v>0.8</v>
      </c>
      <c r="E82">
        <f>_xlfn.XLOOKUP(Summary38[[#This Row],[loan_id]],[1]!Risk2[loan_id],[1]!Risk2[total_risk])</f>
        <v>0.8</v>
      </c>
      <c r="F82" s="3">
        <f>Summary38[[#This Row],[total_risk_M03]]-Summary38[[#This Row],[total_risk_M02]]</f>
        <v>0</v>
      </c>
      <c r="G82" t="str">
        <f>_xlfn.XLOOKUP(Summary38[[#This Row],[loan_id]],[1]!Loans[loan_id],[1]!Loans[loan_size_band])</f>
        <v>Large</v>
      </c>
    </row>
    <row r="83" spans="1:7" x14ac:dyDescent="0.25">
      <c r="A83" t="s">
        <v>87</v>
      </c>
      <c r="B83">
        <f>IF([1]!Repayment3[[#This Row],[payment_status]]="Full",0,IF([1]!Repayment3[[#This Row],[payment_status]]="Partial",0.5,1))</f>
        <v>0</v>
      </c>
      <c r="C83">
        <f>_xlfn.XLOOKUP(Summary38[[#This Row],[loan_id]],[1]!Loans[loan_id],[1]!Loans[structural_risk])</f>
        <v>0.8</v>
      </c>
      <c r="D83">
        <f>Summary38[[#This Row],[risk_weight]]+Summary38[[#This Row],[stuctural_risk]]</f>
        <v>0.8</v>
      </c>
      <c r="E83">
        <f>_xlfn.XLOOKUP(Summary38[[#This Row],[loan_id]],[1]!Risk2[loan_id],[1]!Risk2[total_risk])</f>
        <v>0.8</v>
      </c>
      <c r="F83" s="3">
        <f>Summary38[[#This Row],[total_risk_M03]]-Summary38[[#This Row],[total_risk_M02]]</f>
        <v>0</v>
      </c>
      <c r="G83" t="str">
        <f>_xlfn.XLOOKUP(Summary38[[#This Row],[loan_id]],[1]!Loans[loan_id],[1]!Loans[loan_size_band])</f>
        <v>Large</v>
      </c>
    </row>
    <row r="84" spans="1:7" x14ac:dyDescent="0.25">
      <c r="A84" t="s">
        <v>88</v>
      </c>
      <c r="B84">
        <f>IF([1]!Repayment3[[#This Row],[payment_status]]="Full",0,IF([1]!Repayment3[[#This Row],[payment_status]]="Partial",0.5,1))</f>
        <v>0</v>
      </c>
      <c r="C84">
        <f>_xlfn.XLOOKUP(Summary38[[#This Row],[loan_id]],[1]!Loans[loan_id],[1]!Loans[structural_risk])</f>
        <v>0.8</v>
      </c>
      <c r="D84">
        <f>Summary38[[#This Row],[risk_weight]]+Summary38[[#This Row],[stuctural_risk]]</f>
        <v>0.8</v>
      </c>
      <c r="E84">
        <f>_xlfn.XLOOKUP(Summary38[[#This Row],[loan_id]],[1]!Risk2[loan_id],[1]!Risk2[total_risk])</f>
        <v>0.8</v>
      </c>
      <c r="F84" s="3">
        <f>Summary38[[#This Row],[total_risk_M03]]-Summary38[[#This Row],[total_risk_M02]]</f>
        <v>0</v>
      </c>
      <c r="G84" t="str">
        <f>_xlfn.XLOOKUP(Summary38[[#This Row],[loan_id]],[1]!Loans[loan_id],[1]!Loans[loan_size_band])</f>
        <v>Large</v>
      </c>
    </row>
    <row r="85" spans="1:7" x14ac:dyDescent="0.25">
      <c r="A85" t="s">
        <v>89</v>
      </c>
      <c r="B85">
        <f>IF([1]!Repayment3[[#This Row],[payment_status]]="Full",0,IF([1]!Repayment3[[#This Row],[payment_status]]="Partial",0.5,1))</f>
        <v>0</v>
      </c>
      <c r="C85">
        <f>_xlfn.XLOOKUP(Summary38[[#This Row],[loan_id]],[1]!Loans[loan_id],[1]!Loans[structural_risk])</f>
        <v>0.8</v>
      </c>
      <c r="D85">
        <f>Summary38[[#This Row],[risk_weight]]+Summary38[[#This Row],[stuctural_risk]]</f>
        <v>0.8</v>
      </c>
      <c r="E85">
        <f>_xlfn.XLOOKUP(Summary38[[#This Row],[loan_id]],[1]!Risk2[loan_id],[1]!Risk2[total_risk])</f>
        <v>0.8</v>
      </c>
      <c r="F85" s="3">
        <f>Summary38[[#This Row],[total_risk_M03]]-Summary38[[#This Row],[total_risk_M02]]</f>
        <v>0</v>
      </c>
      <c r="G85" t="str">
        <f>_xlfn.XLOOKUP(Summary38[[#This Row],[loan_id]],[1]!Loans[loan_id],[1]!Loans[loan_size_band])</f>
        <v>Large</v>
      </c>
    </row>
    <row r="86" spans="1:7" x14ac:dyDescent="0.25">
      <c r="A86" t="s">
        <v>90</v>
      </c>
      <c r="B86">
        <f>IF([1]!Repayment3[[#This Row],[payment_status]]="Full",0,IF([1]!Repayment3[[#This Row],[payment_status]]="Partial",0.5,1))</f>
        <v>0</v>
      </c>
      <c r="C86">
        <f>_xlfn.XLOOKUP(Summary38[[#This Row],[loan_id]],[1]!Loans[loan_id],[1]!Loans[structural_risk])</f>
        <v>0.8</v>
      </c>
      <c r="D86">
        <f>Summary38[[#This Row],[risk_weight]]+Summary38[[#This Row],[stuctural_risk]]</f>
        <v>0.8</v>
      </c>
      <c r="E86">
        <f>_xlfn.XLOOKUP(Summary38[[#This Row],[loan_id]],[1]!Risk2[loan_id],[1]!Risk2[total_risk])</f>
        <v>0.8</v>
      </c>
      <c r="F86" s="3">
        <f>Summary38[[#This Row],[total_risk_M03]]-Summary38[[#This Row],[total_risk_M02]]</f>
        <v>0</v>
      </c>
      <c r="G86" t="str">
        <f>_xlfn.XLOOKUP(Summary38[[#This Row],[loan_id]],[1]!Loans[loan_id],[1]!Loans[loan_size_band])</f>
        <v>Large</v>
      </c>
    </row>
    <row r="87" spans="1:7" x14ac:dyDescent="0.25">
      <c r="A87" t="s">
        <v>91</v>
      </c>
      <c r="B87">
        <f>IF([1]!Repayment3[[#This Row],[payment_status]]="Full",0,IF([1]!Repayment3[[#This Row],[payment_status]]="Partial",0.5,1))</f>
        <v>0</v>
      </c>
      <c r="C87">
        <f>_xlfn.XLOOKUP(Summary38[[#This Row],[loan_id]],[1]!Loans[loan_id],[1]!Loans[structural_risk])</f>
        <v>0.8</v>
      </c>
      <c r="D87">
        <f>Summary38[[#This Row],[risk_weight]]+Summary38[[#This Row],[stuctural_risk]]</f>
        <v>0.8</v>
      </c>
      <c r="E87">
        <f>_xlfn.XLOOKUP(Summary38[[#This Row],[loan_id]],[1]!Risk2[loan_id],[1]!Risk2[total_risk])</f>
        <v>0.8</v>
      </c>
      <c r="F87" s="3">
        <f>Summary38[[#This Row],[total_risk_M03]]-Summary38[[#This Row],[total_risk_M02]]</f>
        <v>0</v>
      </c>
      <c r="G87" t="str">
        <f>_xlfn.XLOOKUP(Summary38[[#This Row],[loan_id]],[1]!Loans[loan_id],[1]!Loans[loan_size_band])</f>
        <v>Large</v>
      </c>
    </row>
    <row r="88" spans="1:7" x14ac:dyDescent="0.25">
      <c r="A88" t="s">
        <v>92</v>
      </c>
      <c r="B88">
        <f>IF([1]!Repayment3[[#This Row],[payment_status]]="Full",0,IF([1]!Repayment3[[#This Row],[payment_status]]="Partial",0.5,1))</f>
        <v>0</v>
      </c>
      <c r="C88">
        <f>_xlfn.XLOOKUP(Summary38[[#This Row],[loan_id]],[1]!Loans[loan_id],[1]!Loans[structural_risk])</f>
        <v>0.8</v>
      </c>
      <c r="D88">
        <f>Summary38[[#This Row],[risk_weight]]+Summary38[[#This Row],[stuctural_risk]]</f>
        <v>0.8</v>
      </c>
      <c r="E88">
        <f>_xlfn.XLOOKUP(Summary38[[#This Row],[loan_id]],[1]!Risk2[loan_id],[1]!Risk2[total_risk])</f>
        <v>0.8</v>
      </c>
      <c r="F88" s="3">
        <f>Summary38[[#This Row],[total_risk_M03]]-Summary38[[#This Row],[total_risk_M02]]</f>
        <v>0</v>
      </c>
      <c r="G88" t="str">
        <f>_xlfn.XLOOKUP(Summary38[[#This Row],[loan_id]],[1]!Loans[loan_id],[1]!Loans[loan_size_band])</f>
        <v>Large</v>
      </c>
    </row>
    <row r="89" spans="1:7" x14ac:dyDescent="0.25">
      <c r="A89" t="s">
        <v>93</v>
      </c>
      <c r="B89">
        <f>IF([1]!Repayment3[[#This Row],[payment_status]]="Full",0,IF([1]!Repayment3[[#This Row],[payment_status]]="Partial",0.5,1))</f>
        <v>0</v>
      </c>
      <c r="C89">
        <f>_xlfn.XLOOKUP(Summary38[[#This Row],[loan_id]],[1]!Loans[loan_id],[1]!Loans[structural_risk])</f>
        <v>0.8</v>
      </c>
      <c r="D89">
        <f>Summary38[[#This Row],[risk_weight]]+Summary38[[#This Row],[stuctural_risk]]</f>
        <v>0.8</v>
      </c>
      <c r="E89">
        <f>_xlfn.XLOOKUP(Summary38[[#This Row],[loan_id]],[1]!Risk2[loan_id],[1]!Risk2[total_risk])</f>
        <v>0.8</v>
      </c>
      <c r="F89" s="3">
        <f>Summary38[[#This Row],[total_risk_M03]]-Summary38[[#This Row],[total_risk_M02]]</f>
        <v>0</v>
      </c>
      <c r="G89" t="str">
        <f>_xlfn.XLOOKUP(Summary38[[#This Row],[loan_id]],[1]!Loans[loan_id],[1]!Loans[loan_size_band])</f>
        <v>Large</v>
      </c>
    </row>
    <row r="90" spans="1:7" x14ac:dyDescent="0.25">
      <c r="A90" t="s">
        <v>94</v>
      </c>
      <c r="B90">
        <f>IF([1]!Repayment3[[#This Row],[payment_status]]="Full",0,IF([1]!Repayment3[[#This Row],[payment_status]]="Partial",0.5,1))</f>
        <v>0</v>
      </c>
      <c r="C90">
        <f>_xlfn.XLOOKUP(Summary38[[#This Row],[loan_id]],[1]!Loans[loan_id],[1]!Loans[structural_risk])</f>
        <v>0.8</v>
      </c>
      <c r="D90">
        <f>Summary38[[#This Row],[risk_weight]]+Summary38[[#This Row],[stuctural_risk]]</f>
        <v>0.8</v>
      </c>
      <c r="E90">
        <f>_xlfn.XLOOKUP(Summary38[[#This Row],[loan_id]],[1]!Risk2[loan_id],[1]!Risk2[total_risk])</f>
        <v>0.8</v>
      </c>
      <c r="F90" s="3">
        <f>Summary38[[#This Row],[total_risk_M03]]-Summary38[[#This Row],[total_risk_M02]]</f>
        <v>0</v>
      </c>
      <c r="G90" t="str">
        <f>_xlfn.XLOOKUP(Summary38[[#This Row],[loan_id]],[1]!Loans[loan_id],[1]!Loans[loan_size_band])</f>
        <v>Large</v>
      </c>
    </row>
    <row r="91" spans="1:7" x14ac:dyDescent="0.25">
      <c r="A91" t="s">
        <v>95</v>
      </c>
      <c r="B91">
        <f>IF([1]!Repayment3[[#This Row],[payment_status]]="Full",0,IF([1]!Repayment3[[#This Row],[payment_status]]="Partial",0.5,1))</f>
        <v>0</v>
      </c>
      <c r="C91">
        <f>_xlfn.XLOOKUP(Summary38[[#This Row],[loan_id]],[1]!Loans[loan_id],[1]!Loans[structural_risk])</f>
        <v>0.8</v>
      </c>
      <c r="D91">
        <f>Summary38[[#This Row],[risk_weight]]+Summary38[[#This Row],[stuctural_risk]]</f>
        <v>0.8</v>
      </c>
      <c r="E91">
        <f>_xlfn.XLOOKUP(Summary38[[#This Row],[loan_id]],[1]!Risk2[loan_id],[1]!Risk2[total_risk])</f>
        <v>0.8</v>
      </c>
      <c r="F91" s="3">
        <f>Summary38[[#This Row],[total_risk_M03]]-Summary38[[#This Row],[total_risk_M02]]</f>
        <v>0</v>
      </c>
      <c r="G91" t="str">
        <f>_xlfn.XLOOKUP(Summary38[[#This Row],[loan_id]],[1]!Loans[loan_id],[1]!Loans[loan_size_band])</f>
        <v>Large</v>
      </c>
    </row>
    <row r="92" spans="1:7" x14ac:dyDescent="0.25">
      <c r="A92" t="s">
        <v>96</v>
      </c>
      <c r="B92">
        <f>IF([1]!Repayment3[[#This Row],[payment_status]]="Full",0,IF([1]!Repayment3[[#This Row],[payment_status]]="Partial",0.5,1))</f>
        <v>0</v>
      </c>
      <c r="C92">
        <f>_xlfn.XLOOKUP(Summary38[[#This Row],[loan_id]],[1]!Loans[loan_id],[1]!Loans[structural_risk])</f>
        <v>0.8</v>
      </c>
      <c r="D92">
        <f>Summary38[[#This Row],[risk_weight]]+Summary38[[#This Row],[stuctural_risk]]</f>
        <v>0.8</v>
      </c>
      <c r="E92">
        <f>_xlfn.XLOOKUP(Summary38[[#This Row],[loan_id]],[1]!Risk2[loan_id],[1]!Risk2[total_risk])</f>
        <v>0.8</v>
      </c>
      <c r="F92" s="3">
        <f>Summary38[[#This Row],[total_risk_M03]]-Summary38[[#This Row],[total_risk_M02]]</f>
        <v>0</v>
      </c>
      <c r="G92" t="str">
        <f>_xlfn.XLOOKUP(Summary38[[#This Row],[loan_id]],[1]!Loans[loan_id],[1]!Loans[loan_size_band])</f>
        <v>Large</v>
      </c>
    </row>
    <row r="93" spans="1:7" x14ac:dyDescent="0.25">
      <c r="A93" t="s">
        <v>97</v>
      </c>
      <c r="B93">
        <f>IF([1]!Repayment3[[#This Row],[payment_status]]="Full",0,IF([1]!Repayment3[[#This Row],[payment_status]]="Partial",0.5,1))</f>
        <v>0</v>
      </c>
      <c r="C93">
        <f>_xlfn.XLOOKUP(Summary38[[#This Row],[loan_id]],[1]!Loans[loan_id],[1]!Loans[structural_risk])</f>
        <v>0.8</v>
      </c>
      <c r="D93">
        <f>Summary38[[#This Row],[risk_weight]]+Summary38[[#This Row],[stuctural_risk]]</f>
        <v>0.8</v>
      </c>
      <c r="E93">
        <f>_xlfn.XLOOKUP(Summary38[[#This Row],[loan_id]],[1]!Risk2[loan_id],[1]!Risk2[total_risk])</f>
        <v>0.8</v>
      </c>
      <c r="F93" s="3">
        <f>Summary38[[#This Row],[total_risk_M03]]-Summary38[[#This Row],[total_risk_M02]]</f>
        <v>0</v>
      </c>
      <c r="G93" t="str">
        <f>_xlfn.XLOOKUP(Summary38[[#This Row],[loan_id]],[1]!Loans[loan_id],[1]!Loans[loan_size_band])</f>
        <v>Large</v>
      </c>
    </row>
    <row r="94" spans="1:7" x14ac:dyDescent="0.25">
      <c r="A94" t="s">
        <v>98</v>
      </c>
      <c r="B94">
        <f>IF([1]!Repayment3[[#This Row],[payment_status]]="Full",0,IF([1]!Repayment3[[#This Row],[payment_status]]="Partial",0.5,1))</f>
        <v>0</v>
      </c>
      <c r="C94">
        <f>_xlfn.XLOOKUP(Summary38[[#This Row],[loan_id]],[1]!Loans[loan_id],[1]!Loans[structural_risk])</f>
        <v>0.8</v>
      </c>
      <c r="D94">
        <f>Summary38[[#This Row],[risk_weight]]+Summary38[[#This Row],[stuctural_risk]]</f>
        <v>0.8</v>
      </c>
      <c r="E94">
        <f>_xlfn.XLOOKUP(Summary38[[#This Row],[loan_id]],[1]!Risk2[loan_id],[1]!Risk2[total_risk])</f>
        <v>0.8</v>
      </c>
      <c r="F94" s="3">
        <f>Summary38[[#This Row],[total_risk_M03]]-Summary38[[#This Row],[total_risk_M02]]</f>
        <v>0</v>
      </c>
      <c r="G94" t="str">
        <f>_xlfn.XLOOKUP(Summary38[[#This Row],[loan_id]],[1]!Loans[loan_id],[1]!Loans[loan_size_band])</f>
        <v>Large</v>
      </c>
    </row>
    <row r="95" spans="1:7" x14ac:dyDescent="0.25">
      <c r="A95" t="s">
        <v>99</v>
      </c>
      <c r="B95">
        <f>IF([1]!Repayment3[[#This Row],[payment_status]]="Full",0,IF([1]!Repayment3[[#This Row],[payment_status]]="Partial",0.5,1))</f>
        <v>0</v>
      </c>
      <c r="C95">
        <f>_xlfn.XLOOKUP(Summary38[[#This Row],[loan_id]],[1]!Loans[loan_id],[1]!Loans[structural_risk])</f>
        <v>0.8</v>
      </c>
      <c r="D95">
        <f>Summary38[[#This Row],[risk_weight]]+Summary38[[#This Row],[stuctural_risk]]</f>
        <v>0.8</v>
      </c>
      <c r="E95">
        <f>_xlfn.XLOOKUP(Summary38[[#This Row],[loan_id]],[1]!Risk2[loan_id],[1]!Risk2[total_risk])</f>
        <v>0.8</v>
      </c>
      <c r="F95" s="3">
        <f>Summary38[[#This Row],[total_risk_M03]]-Summary38[[#This Row],[total_risk_M02]]</f>
        <v>0</v>
      </c>
      <c r="G95" t="str">
        <f>_xlfn.XLOOKUP(Summary38[[#This Row],[loan_id]],[1]!Loans[loan_id],[1]!Loans[loan_size_band])</f>
        <v>Large</v>
      </c>
    </row>
    <row r="96" spans="1:7" x14ac:dyDescent="0.25">
      <c r="A96" t="s">
        <v>100</v>
      </c>
      <c r="B96">
        <f>IF([1]!Repayment3[[#This Row],[payment_status]]="Full",0,IF([1]!Repayment3[[#This Row],[payment_status]]="Partial",0.5,1))</f>
        <v>0</v>
      </c>
      <c r="C96">
        <f>_xlfn.XLOOKUP(Summary38[[#This Row],[loan_id]],[1]!Loans[loan_id],[1]!Loans[structural_risk])</f>
        <v>0.8</v>
      </c>
      <c r="D96">
        <f>Summary38[[#This Row],[risk_weight]]+Summary38[[#This Row],[stuctural_risk]]</f>
        <v>0.8</v>
      </c>
      <c r="E96">
        <f>_xlfn.XLOOKUP(Summary38[[#This Row],[loan_id]],[1]!Risk2[loan_id],[1]!Risk2[total_risk])</f>
        <v>0.8</v>
      </c>
      <c r="F96" s="3">
        <f>Summary38[[#This Row],[total_risk_M03]]-Summary38[[#This Row],[total_risk_M02]]</f>
        <v>0</v>
      </c>
      <c r="G96" t="str">
        <f>_xlfn.XLOOKUP(Summary38[[#This Row],[loan_id]],[1]!Loans[loan_id],[1]!Loans[loan_size_band])</f>
        <v>Large</v>
      </c>
    </row>
    <row r="97" spans="1:7" x14ac:dyDescent="0.25">
      <c r="A97" t="s">
        <v>101</v>
      </c>
      <c r="B97">
        <f>IF([1]!Repayment3[[#This Row],[payment_status]]="Full",0,IF([1]!Repayment3[[#This Row],[payment_status]]="Partial",0.5,1))</f>
        <v>0</v>
      </c>
      <c r="C97">
        <f>_xlfn.XLOOKUP(Summary38[[#This Row],[loan_id]],[1]!Loans[loan_id],[1]!Loans[structural_risk])</f>
        <v>0.8</v>
      </c>
      <c r="D97">
        <f>Summary38[[#This Row],[risk_weight]]+Summary38[[#This Row],[stuctural_risk]]</f>
        <v>0.8</v>
      </c>
      <c r="E97">
        <f>_xlfn.XLOOKUP(Summary38[[#This Row],[loan_id]],[1]!Risk2[loan_id],[1]!Risk2[total_risk])</f>
        <v>0.8</v>
      </c>
      <c r="F97" s="3">
        <f>Summary38[[#This Row],[total_risk_M03]]-Summary38[[#This Row],[total_risk_M02]]</f>
        <v>0</v>
      </c>
      <c r="G97" t="str">
        <f>_xlfn.XLOOKUP(Summary38[[#This Row],[loan_id]],[1]!Loans[loan_id],[1]!Loans[loan_size_band])</f>
        <v>Large</v>
      </c>
    </row>
    <row r="98" spans="1:7" x14ac:dyDescent="0.25">
      <c r="A98" t="s">
        <v>102</v>
      </c>
      <c r="B98">
        <f>IF([1]!Repayment3[[#This Row],[payment_status]]="Full",0,IF([1]!Repayment3[[#This Row],[payment_status]]="Partial",0.5,1))</f>
        <v>0</v>
      </c>
      <c r="C98">
        <f>_xlfn.XLOOKUP(Summary38[[#This Row],[loan_id]],[1]!Loans[loan_id],[1]!Loans[structural_risk])</f>
        <v>0.8</v>
      </c>
      <c r="D98">
        <f>Summary38[[#This Row],[risk_weight]]+Summary38[[#This Row],[stuctural_risk]]</f>
        <v>0.8</v>
      </c>
      <c r="E98">
        <f>_xlfn.XLOOKUP(Summary38[[#This Row],[loan_id]],[1]!Risk2[loan_id],[1]!Risk2[total_risk])</f>
        <v>0.8</v>
      </c>
      <c r="F98" s="3">
        <f>Summary38[[#This Row],[total_risk_M03]]-Summary38[[#This Row],[total_risk_M02]]</f>
        <v>0</v>
      </c>
      <c r="G98" t="str">
        <f>_xlfn.XLOOKUP(Summary38[[#This Row],[loan_id]],[1]!Loans[loan_id],[1]!Loans[loan_size_band])</f>
        <v>Large</v>
      </c>
    </row>
    <row r="99" spans="1:7" x14ac:dyDescent="0.25">
      <c r="A99" t="s">
        <v>103</v>
      </c>
      <c r="B99">
        <f>IF([1]!Repayment3[[#This Row],[payment_status]]="Full",0,IF([1]!Repayment3[[#This Row],[payment_status]]="Partial",0.5,1))</f>
        <v>0</v>
      </c>
      <c r="C99">
        <f>_xlfn.XLOOKUP(Summary38[[#This Row],[loan_id]],[1]!Loans[loan_id],[1]!Loans[structural_risk])</f>
        <v>0.8</v>
      </c>
      <c r="D99">
        <f>Summary38[[#This Row],[risk_weight]]+Summary38[[#This Row],[stuctural_risk]]</f>
        <v>0.8</v>
      </c>
      <c r="E99">
        <f>_xlfn.XLOOKUP(Summary38[[#This Row],[loan_id]],[1]!Risk2[loan_id],[1]!Risk2[total_risk])</f>
        <v>0.8</v>
      </c>
      <c r="F99" s="3">
        <f>Summary38[[#This Row],[total_risk_M03]]-Summary38[[#This Row],[total_risk_M02]]</f>
        <v>0</v>
      </c>
      <c r="G99" t="str">
        <f>_xlfn.XLOOKUP(Summary38[[#This Row],[loan_id]],[1]!Loans[loan_id],[1]!Loans[loan_size_band])</f>
        <v>Large</v>
      </c>
    </row>
    <row r="100" spans="1:7" x14ac:dyDescent="0.25">
      <c r="A100" t="s">
        <v>104</v>
      </c>
      <c r="B100">
        <f>IF([1]!Repayment3[[#This Row],[payment_status]]="Full",0,IF([1]!Repayment3[[#This Row],[payment_status]]="Partial",0.5,1))</f>
        <v>0</v>
      </c>
      <c r="C100">
        <f>_xlfn.XLOOKUP(Summary38[[#This Row],[loan_id]],[1]!Loans[loan_id],[1]!Loans[structural_risk])</f>
        <v>0.8</v>
      </c>
      <c r="D100">
        <f>Summary38[[#This Row],[risk_weight]]+Summary38[[#This Row],[stuctural_risk]]</f>
        <v>0.8</v>
      </c>
      <c r="E100">
        <f>_xlfn.XLOOKUP(Summary38[[#This Row],[loan_id]],[1]!Risk2[loan_id],[1]!Risk2[total_risk])</f>
        <v>0.8</v>
      </c>
      <c r="F100" s="3">
        <f>Summary38[[#This Row],[total_risk_M03]]-Summary38[[#This Row],[total_risk_M02]]</f>
        <v>0</v>
      </c>
      <c r="G100" t="str">
        <f>_xlfn.XLOOKUP(Summary38[[#This Row],[loan_id]],[1]!Loans[loan_id],[1]!Loans[loan_size_band])</f>
        <v>Large</v>
      </c>
    </row>
    <row r="101" spans="1:7" x14ac:dyDescent="0.25">
      <c r="A101" t="s">
        <v>105</v>
      </c>
      <c r="B101">
        <f>IF([1]!Repayment3[[#This Row],[payment_status]]="Full",0,IF([1]!Repayment3[[#This Row],[payment_status]]="Partial",0.5,1))</f>
        <v>0</v>
      </c>
      <c r="C101">
        <f>_xlfn.XLOOKUP(Summary38[[#This Row],[loan_id]],[1]!Loans[loan_id],[1]!Loans[structural_risk])</f>
        <v>0.8</v>
      </c>
      <c r="D101">
        <f>Summary38[[#This Row],[risk_weight]]+Summary38[[#This Row],[stuctural_risk]]</f>
        <v>0.8</v>
      </c>
      <c r="E101">
        <f>_xlfn.XLOOKUP(Summary38[[#This Row],[loan_id]],[1]!Risk2[loan_id],[1]!Risk2[total_risk])</f>
        <v>0.8</v>
      </c>
      <c r="F101" s="3">
        <f>Summary38[[#This Row],[total_risk_M03]]-Summary38[[#This Row],[total_risk_M02]]</f>
        <v>0</v>
      </c>
      <c r="G101" t="str">
        <f>_xlfn.XLOOKUP(Summary38[[#This Row],[loan_id]],[1]!Loans[loan_id],[1]!Loans[loan_size_band])</f>
        <v>Large</v>
      </c>
    </row>
    <row r="102" spans="1:7" x14ac:dyDescent="0.25">
      <c r="A102" t="s">
        <v>106</v>
      </c>
      <c r="B102">
        <f>IF([1]!Repayment3[[#This Row],[payment_status]]="Full",0,IF([1]!Repayment3[[#This Row],[payment_status]]="Partial",0.5,1))</f>
        <v>0</v>
      </c>
      <c r="C102">
        <f>_xlfn.XLOOKUP(Summary38[[#This Row],[loan_id]],[1]!Loans[loan_id],[1]!Loans[structural_risk])</f>
        <v>0.8</v>
      </c>
      <c r="D102">
        <f>Summary38[[#This Row],[risk_weight]]+Summary38[[#This Row],[stuctural_risk]]</f>
        <v>0.8</v>
      </c>
      <c r="E102">
        <f>_xlfn.XLOOKUP(Summary38[[#This Row],[loan_id]],[1]!Risk2[loan_id],[1]!Risk2[total_risk])</f>
        <v>0.8</v>
      </c>
      <c r="F102" s="3">
        <f>Summary38[[#This Row],[total_risk_M03]]-Summary38[[#This Row],[total_risk_M02]]</f>
        <v>0</v>
      </c>
      <c r="G102" t="str">
        <f>_xlfn.XLOOKUP(Summary38[[#This Row],[loan_id]],[1]!Loans[loan_id],[1]!Loans[loan_size_band])</f>
        <v>Large</v>
      </c>
    </row>
    <row r="103" spans="1:7" x14ac:dyDescent="0.25">
      <c r="A103" t="s">
        <v>107</v>
      </c>
      <c r="B103">
        <f>IF([1]!Repayment3[[#This Row],[payment_status]]="Full",0,IF([1]!Repayment3[[#This Row],[payment_status]]="Partial",0.5,1))</f>
        <v>0</v>
      </c>
      <c r="C103">
        <f>_xlfn.XLOOKUP(Summary38[[#This Row],[loan_id]],[1]!Loans[loan_id],[1]!Loans[structural_risk])</f>
        <v>0.8</v>
      </c>
      <c r="D103">
        <f>Summary38[[#This Row],[risk_weight]]+Summary38[[#This Row],[stuctural_risk]]</f>
        <v>0.8</v>
      </c>
      <c r="E103">
        <f>_xlfn.XLOOKUP(Summary38[[#This Row],[loan_id]],[1]!Risk2[loan_id],[1]!Risk2[total_risk])</f>
        <v>0.8</v>
      </c>
      <c r="F103" s="3">
        <f>Summary38[[#This Row],[total_risk_M03]]-Summary38[[#This Row],[total_risk_M02]]</f>
        <v>0</v>
      </c>
      <c r="G103" t="str">
        <f>_xlfn.XLOOKUP(Summary38[[#This Row],[loan_id]],[1]!Loans[loan_id],[1]!Loans[loan_size_band])</f>
        <v>Large</v>
      </c>
    </row>
    <row r="104" spans="1:7" x14ac:dyDescent="0.25">
      <c r="A104" t="s">
        <v>108</v>
      </c>
      <c r="B104">
        <f>IF([1]!Repayment3[[#This Row],[payment_status]]="Full",0,IF([1]!Repayment3[[#This Row],[payment_status]]="Partial",0.5,1))</f>
        <v>0</v>
      </c>
      <c r="C104">
        <f>_xlfn.XLOOKUP(Summary38[[#This Row],[loan_id]],[1]!Loans[loan_id],[1]!Loans[structural_risk])</f>
        <v>0.8</v>
      </c>
      <c r="D104">
        <f>Summary38[[#This Row],[risk_weight]]+Summary38[[#This Row],[stuctural_risk]]</f>
        <v>0.8</v>
      </c>
      <c r="E104">
        <f>_xlfn.XLOOKUP(Summary38[[#This Row],[loan_id]],[1]!Risk2[loan_id],[1]!Risk2[total_risk])</f>
        <v>0.8</v>
      </c>
      <c r="F104" s="3">
        <f>Summary38[[#This Row],[total_risk_M03]]-Summary38[[#This Row],[total_risk_M02]]</f>
        <v>0</v>
      </c>
      <c r="G104" t="str">
        <f>_xlfn.XLOOKUP(Summary38[[#This Row],[loan_id]],[1]!Loans[loan_id],[1]!Loans[loan_size_band])</f>
        <v>Large</v>
      </c>
    </row>
    <row r="105" spans="1:7" x14ac:dyDescent="0.25">
      <c r="A105" t="s">
        <v>109</v>
      </c>
      <c r="B105">
        <f>IF([1]!Repayment3[[#This Row],[payment_status]]="Full",0,IF([1]!Repayment3[[#This Row],[payment_status]]="Partial",0.5,1))</f>
        <v>0</v>
      </c>
      <c r="C105">
        <f>_xlfn.XLOOKUP(Summary38[[#This Row],[loan_id]],[1]!Loans[loan_id],[1]!Loans[structural_risk])</f>
        <v>0.8</v>
      </c>
      <c r="D105">
        <f>Summary38[[#This Row],[risk_weight]]+Summary38[[#This Row],[stuctural_risk]]</f>
        <v>0.8</v>
      </c>
      <c r="E105">
        <f>_xlfn.XLOOKUP(Summary38[[#This Row],[loan_id]],[1]!Risk2[loan_id],[1]!Risk2[total_risk])</f>
        <v>0.8</v>
      </c>
      <c r="F105" s="3">
        <f>Summary38[[#This Row],[total_risk_M03]]-Summary38[[#This Row],[total_risk_M02]]</f>
        <v>0</v>
      </c>
      <c r="G105" t="str">
        <f>_xlfn.XLOOKUP(Summary38[[#This Row],[loan_id]],[1]!Loans[loan_id],[1]!Loans[loan_size_band])</f>
        <v>Large</v>
      </c>
    </row>
    <row r="106" spans="1:7" x14ac:dyDescent="0.25">
      <c r="A106" t="s">
        <v>110</v>
      </c>
      <c r="B106">
        <f>IF([1]!Repayment3[[#This Row],[payment_status]]="Full",0,IF([1]!Repayment3[[#This Row],[payment_status]]="Partial",0.5,1))</f>
        <v>0.5</v>
      </c>
      <c r="C106">
        <f>_xlfn.XLOOKUP(Summary38[[#This Row],[loan_id]],[1]!Loans[loan_id],[1]!Loans[structural_risk])</f>
        <v>0.8</v>
      </c>
      <c r="D106">
        <f>Summary38[[#This Row],[risk_weight]]+Summary38[[#This Row],[stuctural_risk]]</f>
        <v>1.3</v>
      </c>
      <c r="E106">
        <f>_xlfn.XLOOKUP(Summary38[[#This Row],[loan_id]],[1]!Risk2[loan_id],[1]!Risk2[total_risk])</f>
        <v>0.8</v>
      </c>
      <c r="F106" s="3">
        <f>Summary38[[#This Row],[total_risk_M03]]-Summary38[[#This Row],[total_risk_M02]]</f>
        <v>0.5</v>
      </c>
      <c r="G106" t="str">
        <f>_xlfn.XLOOKUP(Summary38[[#This Row],[loan_id]],[1]!Loans[loan_id],[1]!Loans[loan_size_band])</f>
        <v>Large</v>
      </c>
    </row>
    <row r="107" spans="1:7" x14ac:dyDescent="0.25">
      <c r="A107" t="s">
        <v>111</v>
      </c>
      <c r="B107">
        <f>IF([1]!Repayment3[[#This Row],[payment_status]]="Full",0,IF([1]!Repayment3[[#This Row],[payment_status]]="Partial",0.5,1))</f>
        <v>0.5</v>
      </c>
      <c r="C107">
        <f>_xlfn.XLOOKUP(Summary38[[#This Row],[loan_id]],[1]!Loans[loan_id],[1]!Loans[structural_risk])</f>
        <v>0.8</v>
      </c>
      <c r="D107">
        <f>Summary38[[#This Row],[risk_weight]]+Summary38[[#This Row],[stuctural_risk]]</f>
        <v>1.3</v>
      </c>
      <c r="E107">
        <f>_xlfn.XLOOKUP(Summary38[[#This Row],[loan_id]],[1]!Risk2[loan_id],[1]!Risk2[total_risk])</f>
        <v>0.8</v>
      </c>
      <c r="F107" s="3">
        <f>Summary38[[#This Row],[total_risk_M03]]-Summary38[[#This Row],[total_risk_M02]]</f>
        <v>0.5</v>
      </c>
      <c r="G107" t="str">
        <f>_xlfn.XLOOKUP(Summary38[[#This Row],[loan_id]],[1]!Loans[loan_id],[1]!Loans[loan_size_band])</f>
        <v>Large</v>
      </c>
    </row>
    <row r="108" spans="1:7" x14ac:dyDescent="0.25">
      <c r="A108" t="s">
        <v>112</v>
      </c>
      <c r="B108">
        <f>IF([1]!Repayment3[[#This Row],[payment_status]]="Full",0,IF([1]!Repayment3[[#This Row],[payment_status]]="Partial",0.5,1))</f>
        <v>0.5</v>
      </c>
      <c r="C108">
        <f>_xlfn.XLOOKUP(Summary38[[#This Row],[loan_id]],[1]!Loans[loan_id],[1]!Loans[structural_risk])</f>
        <v>0.8</v>
      </c>
      <c r="D108">
        <f>Summary38[[#This Row],[risk_weight]]+Summary38[[#This Row],[stuctural_risk]]</f>
        <v>1.3</v>
      </c>
      <c r="E108">
        <f>_xlfn.XLOOKUP(Summary38[[#This Row],[loan_id]],[1]!Risk2[loan_id],[1]!Risk2[total_risk])</f>
        <v>0.8</v>
      </c>
      <c r="F108" s="3">
        <f>Summary38[[#This Row],[total_risk_M03]]-Summary38[[#This Row],[total_risk_M02]]</f>
        <v>0.5</v>
      </c>
      <c r="G108" t="str">
        <f>_xlfn.XLOOKUP(Summary38[[#This Row],[loan_id]],[1]!Loans[loan_id],[1]!Loans[loan_size_band])</f>
        <v>Large</v>
      </c>
    </row>
    <row r="109" spans="1:7" x14ac:dyDescent="0.25">
      <c r="A109" t="s">
        <v>113</v>
      </c>
      <c r="B109">
        <f>IF([1]!Repayment3[[#This Row],[payment_status]]="Full",0,IF([1]!Repayment3[[#This Row],[payment_status]]="Partial",0.5,1))</f>
        <v>0.5</v>
      </c>
      <c r="C109">
        <f>_xlfn.XLOOKUP(Summary38[[#This Row],[loan_id]],[1]!Loans[loan_id],[1]!Loans[structural_risk])</f>
        <v>0.8</v>
      </c>
      <c r="D109">
        <f>Summary38[[#This Row],[risk_weight]]+Summary38[[#This Row],[stuctural_risk]]</f>
        <v>1.3</v>
      </c>
      <c r="E109">
        <f>_xlfn.XLOOKUP(Summary38[[#This Row],[loan_id]],[1]!Risk2[loan_id],[1]!Risk2[total_risk])</f>
        <v>0.8</v>
      </c>
      <c r="F109" s="3">
        <f>Summary38[[#This Row],[total_risk_M03]]-Summary38[[#This Row],[total_risk_M02]]</f>
        <v>0.5</v>
      </c>
      <c r="G109" t="str">
        <f>_xlfn.XLOOKUP(Summary38[[#This Row],[loan_id]],[1]!Loans[loan_id],[1]!Loans[loan_size_band])</f>
        <v>Large</v>
      </c>
    </row>
    <row r="110" spans="1:7" x14ac:dyDescent="0.25">
      <c r="A110" t="s">
        <v>114</v>
      </c>
      <c r="B110">
        <f>IF([1]!Repayment3[[#This Row],[payment_status]]="Full",0,IF([1]!Repayment3[[#This Row],[payment_status]]="Partial",0.5,1))</f>
        <v>0.5</v>
      </c>
      <c r="C110">
        <f>_xlfn.XLOOKUP(Summary38[[#This Row],[loan_id]],[1]!Loans[loan_id],[1]!Loans[structural_risk])</f>
        <v>0.8</v>
      </c>
      <c r="D110">
        <f>Summary38[[#This Row],[risk_weight]]+Summary38[[#This Row],[stuctural_risk]]</f>
        <v>1.3</v>
      </c>
      <c r="E110">
        <f>_xlfn.XLOOKUP(Summary38[[#This Row],[loan_id]],[1]!Risk2[loan_id],[1]!Risk2[total_risk])</f>
        <v>0.8</v>
      </c>
      <c r="F110" s="3">
        <f>Summary38[[#This Row],[total_risk_M03]]-Summary38[[#This Row],[total_risk_M02]]</f>
        <v>0.5</v>
      </c>
      <c r="G110" t="str">
        <f>_xlfn.XLOOKUP(Summary38[[#This Row],[loan_id]],[1]!Loans[loan_id],[1]!Loans[loan_size_band])</f>
        <v>Large</v>
      </c>
    </row>
    <row r="111" spans="1:7" x14ac:dyDescent="0.25">
      <c r="A111" t="s">
        <v>115</v>
      </c>
      <c r="B111">
        <f>IF([1]!Repayment3[[#This Row],[payment_status]]="Full",0,IF([1]!Repayment3[[#This Row],[payment_status]]="Partial",0.5,1))</f>
        <v>0.5</v>
      </c>
      <c r="C111">
        <f>_xlfn.XLOOKUP(Summary38[[#This Row],[loan_id]],[1]!Loans[loan_id],[1]!Loans[structural_risk])</f>
        <v>0.8</v>
      </c>
      <c r="D111">
        <f>Summary38[[#This Row],[risk_weight]]+Summary38[[#This Row],[stuctural_risk]]</f>
        <v>1.3</v>
      </c>
      <c r="E111">
        <f>_xlfn.XLOOKUP(Summary38[[#This Row],[loan_id]],[1]!Risk2[loan_id],[1]!Risk2[total_risk])</f>
        <v>0.8</v>
      </c>
      <c r="F111" s="3">
        <f>Summary38[[#This Row],[total_risk_M03]]-Summary38[[#This Row],[total_risk_M02]]</f>
        <v>0.5</v>
      </c>
      <c r="G111" t="str">
        <f>_xlfn.XLOOKUP(Summary38[[#This Row],[loan_id]],[1]!Loans[loan_id],[1]!Loans[loan_size_band])</f>
        <v>Large</v>
      </c>
    </row>
    <row r="112" spans="1:7" x14ac:dyDescent="0.25">
      <c r="A112" t="s">
        <v>116</v>
      </c>
      <c r="B112">
        <f>IF([1]!Repayment3[[#This Row],[payment_status]]="Full",0,IF([1]!Repayment3[[#This Row],[payment_status]]="Partial",0.5,1))</f>
        <v>0.5</v>
      </c>
      <c r="C112">
        <f>_xlfn.XLOOKUP(Summary38[[#This Row],[loan_id]],[1]!Loans[loan_id],[1]!Loans[structural_risk])</f>
        <v>0.8</v>
      </c>
      <c r="D112">
        <f>Summary38[[#This Row],[risk_weight]]+Summary38[[#This Row],[stuctural_risk]]</f>
        <v>1.3</v>
      </c>
      <c r="E112">
        <f>_xlfn.XLOOKUP(Summary38[[#This Row],[loan_id]],[1]!Risk2[loan_id],[1]!Risk2[total_risk])</f>
        <v>0.8</v>
      </c>
      <c r="F112" s="3">
        <f>Summary38[[#This Row],[total_risk_M03]]-Summary38[[#This Row],[total_risk_M02]]</f>
        <v>0.5</v>
      </c>
      <c r="G112" t="str">
        <f>_xlfn.XLOOKUP(Summary38[[#This Row],[loan_id]],[1]!Loans[loan_id],[1]!Loans[loan_size_band])</f>
        <v>Large</v>
      </c>
    </row>
    <row r="113" spans="1:7" x14ac:dyDescent="0.25">
      <c r="A113" t="s">
        <v>117</v>
      </c>
      <c r="B113">
        <f>IF([1]!Repayment3[[#This Row],[payment_status]]="Full",0,IF([1]!Repayment3[[#This Row],[payment_status]]="Partial",0.5,1))</f>
        <v>0.5</v>
      </c>
      <c r="C113">
        <f>_xlfn.XLOOKUP(Summary38[[#This Row],[loan_id]],[1]!Loans[loan_id],[1]!Loans[structural_risk])</f>
        <v>0.8</v>
      </c>
      <c r="D113">
        <f>Summary38[[#This Row],[risk_weight]]+Summary38[[#This Row],[stuctural_risk]]</f>
        <v>1.3</v>
      </c>
      <c r="E113">
        <f>_xlfn.XLOOKUP(Summary38[[#This Row],[loan_id]],[1]!Risk2[loan_id],[1]!Risk2[total_risk])</f>
        <v>0.8</v>
      </c>
      <c r="F113" s="3">
        <f>Summary38[[#This Row],[total_risk_M03]]-Summary38[[#This Row],[total_risk_M02]]</f>
        <v>0.5</v>
      </c>
      <c r="G113" t="str">
        <f>_xlfn.XLOOKUP(Summary38[[#This Row],[loan_id]],[1]!Loans[loan_id],[1]!Loans[loan_size_band])</f>
        <v>Large</v>
      </c>
    </row>
    <row r="114" spans="1:7" x14ac:dyDescent="0.25">
      <c r="A114" t="s">
        <v>118</v>
      </c>
      <c r="B114">
        <f>IF([1]!Repayment3[[#This Row],[payment_status]]="Full",0,IF([1]!Repayment3[[#This Row],[payment_status]]="Partial",0.5,1))</f>
        <v>0.5</v>
      </c>
      <c r="C114">
        <f>_xlfn.XLOOKUP(Summary38[[#This Row],[loan_id]],[1]!Loans[loan_id],[1]!Loans[structural_risk])</f>
        <v>0.8</v>
      </c>
      <c r="D114">
        <f>Summary38[[#This Row],[risk_weight]]+Summary38[[#This Row],[stuctural_risk]]</f>
        <v>1.3</v>
      </c>
      <c r="E114">
        <f>_xlfn.XLOOKUP(Summary38[[#This Row],[loan_id]],[1]!Risk2[loan_id],[1]!Risk2[total_risk])</f>
        <v>0.8</v>
      </c>
      <c r="F114" s="3">
        <f>Summary38[[#This Row],[total_risk_M03]]-Summary38[[#This Row],[total_risk_M02]]</f>
        <v>0.5</v>
      </c>
      <c r="G114" t="str">
        <f>_xlfn.XLOOKUP(Summary38[[#This Row],[loan_id]],[1]!Loans[loan_id],[1]!Loans[loan_size_band])</f>
        <v>Large</v>
      </c>
    </row>
    <row r="115" spans="1:7" x14ac:dyDescent="0.25">
      <c r="A115" t="s">
        <v>119</v>
      </c>
      <c r="B115">
        <f>IF([1]!Repayment3[[#This Row],[payment_status]]="Full",0,IF([1]!Repayment3[[#This Row],[payment_status]]="Partial",0.5,1))</f>
        <v>0.5</v>
      </c>
      <c r="C115">
        <f>_xlfn.XLOOKUP(Summary38[[#This Row],[loan_id]],[1]!Loans[loan_id],[1]!Loans[structural_risk])</f>
        <v>0.8</v>
      </c>
      <c r="D115">
        <f>Summary38[[#This Row],[risk_weight]]+Summary38[[#This Row],[stuctural_risk]]</f>
        <v>1.3</v>
      </c>
      <c r="E115">
        <f>_xlfn.XLOOKUP(Summary38[[#This Row],[loan_id]],[1]!Risk2[loan_id],[1]!Risk2[total_risk])</f>
        <v>0.8</v>
      </c>
      <c r="F115" s="3">
        <f>Summary38[[#This Row],[total_risk_M03]]-Summary38[[#This Row],[total_risk_M02]]</f>
        <v>0.5</v>
      </c>
      <c r="G115" t="str">
        <f>_xlfn.XLOOKUP(Summary38[[#This Row],[loan_id]],[1]!Loans[loan_id],[1]!Loans[loan_size_band])</f>
        <v>Large</v>
      </c>
    </row>
    <row r="116" spans="1:7" x14ac:dyDescent="0.25">
      <c r="A116" t="s">
        <v>120</v>
      </c>
      <c r="B116">
        <f>IF([1]!Repayment3[[#This Row],[payment_status]]="Full",0,IF([1]!Repayment3[[#This Row],[payment_status]]="Partial",0.5,1))</f>
        <v>0.5</v>
      </c>
      <c r="C116">
        <f>_xlfn.XLOOKUP(Summary38[[#This Row],[loan_id]],[1]!Loans[loan_id],[1]!Loans[structural_risk])</f>
        <v>0.8</v>
      </c>
      <c r="D116">
        <f>Summary38[[#This Row],[risk_weight]]+Summary38[[#This Row],[stuctural_risk]]</f>
        <v>1.3</v>
      </c>
      <c r="E116">
        <f>_xlfn.XLOOKUP(Summary38[[#This Row],[loan_id]],[1]!Risk2[loan_id],[1]!Risk2[total_risk])</f>
        <v>0.8</v>
      </c>
      <c r="F116" s="3">
        <f>Summary38[[#This Row],[total_risk_M03]]-Summary38[[#This Row],[total_risk_M02]]</f>
        <v>0.5</v>
      </c>
      <c r="G116" t="str">
        <f>_xlfn.XLOOKUP(Summary38[[#This Row],[loan_id]],[1]!Loans[loan_id],[1]!Loans[loan_size_band])</f>
        <v>Large</v>
      </c>
    </row>
    <row r="117" spans="1:7" x14ac:dyDescent="0.25">
      <c r="A117" t="s">
        <v>121</v>
      </c>
      <c r="B117">
        <f>IF([1]!Repayment3[[#This Row],[payment_status]]="Full",0,IF([1]!Repayment3[[#This Row],[payment_status]]="Partial",0.5,1))</f>
        <v>0.5</v>
      </c>
      <c r="C117">
        <f>_xlfn.XLOOKUP(Summary38[[#This Row],[loan_id]],[1]!Loans[loan_id],[1]!Loans[structural_risk])</f>
        <v>0.8</v>
      </c>
      <c r="D117">
        <f>Summary38[[#This Row],[risk_weight]]+Summary38[[#This Row],[stuctural_risk]]</f>
        <v>1.3</v>
      </c>
      <c r="E117">
        <f>_xlfn.XLOOKUP(Summary38[[#This Row],[loan_id]],[1]!Risk2[loan_id],[1]!Risk2[total_risk])</f>
        <v>0.8</v>
      </c>
      <c r="F117" s="3">
        <f>Summary38[[#This Row],[total_risk_M03]]-Summary38[[#This Row],[total_risk_M02]]</f>
        <v>0.5</v>
      </c>
      <c r="G117" t="str">
        <f>_xlfn.XLOOKUP(Summary38[[#This Row],[loan_id]],[1]!Loans[loan_id],[1]!Loans[loan_size_band])</f>
        <v>Large</v>
      </c>
    </row>
    <row r="118" spans="1:7" x14ac:dyDescent="0.25">
      <c r="A118" t="s">
        <v>122</v>
      </c>
      <c r="B118">
        <f>IF([1]!Repayment3[[#This Row],[payment_status]]="Full",0,IF([1]!Repayment3[[#This Row],[payment_status]]="Partial",0.5,1))</f>
        <v>0.5</v>
      </c>
      <c r="C118">
        <f>_xlfn.XLOOKUP(Summary38[[#This Row],[loan_id]],[1]!Loans[loan_id],[1]!Loans[structural_risk])</f>
        <v>0.5</v>
      </c>
      <c r="D118">
        <f>Summary38[[#This Row],[risk_weight]]+Summary38[[#This Row],[stuctural_risk]]</f>
        <v>1</v>
      </c>
      <c r="E118">
        <f>_xlfn.XLOOKUP(Summary38[[#This Row],[loan_id]],[1]!Risk2[loan_id],[1]!Risk2[total_risk])</f>
        <v>0.5</v>
      </c>
      <c r="F118" s="3">
        <f>Summary38[[#This Row],[total_risk_M03]]-Summary38[[#This Row],[total_risk_M02]]</f>
        <v>0.5</v>
      </c>
      <c r="G118" t="str">
        <f>_xlfn.XLOOKUP(Summary38[[#This Row],[loan_id]],[1]!Loans[loan_id],[1]!Loans[loan_size_band])</f>
        <v>Medium</v>
      </c>
    </row>
    <row r="119" spans="1:7" x14ac:dyDescent="0.25">
      <c r="A119" t="s">
        <v>123</v>
      </c>
      <c r="B119">
        <f>IF([1]!Repayment3[[#This Row],[payment_status]]="Full",0,IF([1]!Repayment3[[#This Row],[payment_status]]="Partial",0.5,1))</f>
        <v>0.5</v>
      </c>
      <c r="C119">
        <f>_xlfn.XLOOKUP(Summary38[[#This Row],[loan_id]],[1]!Loans[loan_id],[1]!Loans[structural_risk])</f>
        <v>0.5</v>
      </c>
      <c r="D119">
        <f>Summary38[[#This Row],[risk_weight]]+Summary38[[#This Row],[stuctural_risk]]</f>
        <v>1</v>
      </c>
      <c r="E119">
        <f>_xlfn.XLOOKUP(Summary38[[#This Row],[loan_id]],[1]!Risk2[loan_id],[1]!Risk2[total_risk])</f>
        <v>0.5</v>
      </c>
      <c r="F119" s="3">
        <f>Summary38[[#This Row],[total_risk_M03]]-Summary38[[#This Row],[total_risk_M02]]</f>
        <v>0.5</v>
      </c>
      <c r="G119" t="str">
        <f>_xlfn.XLOOKUP(Summary38[[#This Row],[loan_id]],[1]!Loans[loan_id],[1]!Loans[loan_size_band])</f>
        <v>Medium</v>
      </c>
    </row>
    <row r="120" spans="1:7" x14ac:dyDescent="0.25">
      <c r="A120" t="s">
        <v>124</v>
      </c>
      <c r="B120">
        <f>IF([1]!Repayment3[[#This Row],[payment_status]]="Full",0,IF([1]!Repayment3[[#This Row],[payment_status]]="Partial",0.5,1))</f>
        <v>0.5</v>
      </c>
      <c r="C120">
        <f>_xlfn.XLOOKUP(Summary38[[#This Row],[loan_id]],[1]!Loans[loan_id],[1]!Loans[structural_risk])</f>
        <v>0.5</v>
      </c>
      <c r="D120">
        <f>Summary38[[#This Row],[risk_weight]]+Summary38[[#This Row],[stuctural_risk]]</f>
        <v>1</v>
      </c>
      <c r="E120">
        <f>_xlfn.XLOOKUP(Summary38[[#This Row],[loan_id]],[1]!Risk2[loan_id],[1]!Risk2[total_risk])</f>
        <v>0.5</v>
      </c>
      <c r="F120" s="3">
        <f>Summary38[[#This Row],[total_risk_M03]]-Summary38[[#This Row],[total_risk_M02]]</f>
        <v>0.5</v>
      </c>
      <c r="G120" t="str">
        <f>_xlfn.XLOOKUP(Summary38[[#This Row],[loan_id]],[1]!Loans[loan_id],[1]!Loans[loan_size_band])</f>
        <v>Medium</v>
      </c>
    </row>
    <row r="121" spans="1:7" x14ac:dyDescent="0.25">
      <c r="A121" t="s">
        <v>125</v>
      </c>
      <c r="B121">
        <f>IF([1]!Repayment3[[#This Row],[payment_status]]="Full",0,IF([1]!Repayment3[[#This Row],[payment_status]]="Partial",0.5,1))</f>
        <v>0.5</v>
      </c>
      <c r="C121">
        <f>_xlfn.XLOOKUP(Summary38[[#This Row],[loan_id]],[1]!Loans[loan_id],[1]!Loans[structural_risk])</f>
        <v>0.5</v>
      </c>
      <c r="D121">
        <f>Summary38[[#This Row],[risk_weight]]+Summary38[[#This Row],[stuctural_risk]]</f>
        <v>1</v>
      </c>
      <c r="E121">
        <f>_xlfn.XLOOKUP(Summary38[[#This Row],[loan_id]],[1]!Risk2[loan_id],[1]!Risk2[total_risk])</f>
        <v>0.5</v>
      </c>
      <c r="F121" s="3">
        <f>Summary38[[#This Row],[total_risk_M03]]-Summary38[[#This Row],[total_risk_M02]]</f>
        <v>0.5</v>
      </c>
      <c r="G121" t="str">
        <f>_xlfn.XLOOKUP(Summary38[[#This Row],[loan_id]],[1]!Loans[loan_id],[1]!Loans[loan_size_band])</f>
        <v>Medium</v>
      </c>
    </row>
    <row r="122" spans="1:7" x14ac:dyDescent="0.25">
      <c r="A122" t="s">
        <v>126</v>
      </c>
      <c r="B122">
        <f>IF([1]!Repayment3[[#This Row],[payment_status]]="Full",0,IF([1]!Repayment3[[#This Row],[payment_status]]="Partial",0.5,1))</f>
        <v>0.5</v>
      </c>
      <c r="C122">
        <f>_xlfn.XLOOKUP(Summary38[[#This Row],[loan_id]],[1]!Loans[loan_id],[1]!Loans[structural_risk])</f>
        <v>0.5</v>
      </c>
      <c r="D122">
        <f>Summary38[[#This Row],[risk_weight]]+Summary38[[#This Row],[stuctural_risk]]</f>
        <v>1</v>
      </c>
      <c r="E122">
        <f>_xlfn.XLOOKUP(Summary38[[#This Row],[loan_id]],[1]!Risk2[loan_id],[1]!Risk2[total_risk])</f>
        <v>0.5</v>
      </c>
      <c r="F122" s="3">
        <f>Summary38[[#This Row],[total_risk_M03]]-Summary38[[#This Row],[total_risk_M02]]</f>
        <v>0.5</v>
      </c>
      <c r="G122" t="str">
        <f>_xlfn.XLOOKUP(Summary38[[#This Row],[loan_id]],[1]!Loans[loan_id],[1]!Loans[loan_size_band])</f>
        <v>Medium</v>
      </c>
    </row>
    <row r="123" spans="1:7" x14ac:dyDescent="0.25">
      <c r="A123" t="s">
        <v>127</v>
      </c>
      <c r="B123">
        <f>IF([1]!Repayment3[[#This Row],[payment_status]]="Full",0,IF([1]!Repayment3[[#This Row],[payment_status]]="Partial",0.5,1))</f>
        <v>0.5</v>
      </c>
      <c r="C123">
        <f>_xlfn.XLOOKUP(Summary38[[#This Row],[loan_id]],[1]!Loans[loan_id],[1]!Loans[structural_risk])</f>
        <v>0.5</v>
      </c>
      <c r="D123">
        <f>Summary38[[#This Row],[risk_weight]]+Summary38[[#This Row],[stuctural_risk]]</f>
        <v>1</v>
      </c>
      <c r="E123">
        <f>_xlfn.XLOOKUP(Summary38[[#This Row],[loan_id]],[1]!Risk2[loan_id],[1]!Risk2[total_risk])</f>
        <v>0.5</v>
      </c>
      <c r="F123" s="3">
        <f>Summary38[[#This Row],[total_risk_M03]]-Summary38[[#This Row],[total_risk_M02]]</f>
        <v>0.5</v>
      </c>
      <c r="G123" t="str">
        <f>_xlfn.XLOOKUP(Summary38[[#This Row],[loan_id]],[1]!Loans[loan_id],[1]!Loans[loan_size_band])</f>
        <v>Medium</v>
      </c>
    </row>
    <row r="124" spans="1:7" x14ac:dyDescent="0.25">
      <c r="A124" t="s">
        <v>128</v>
      </c>
      <c r="B124">
        <f>IF([1]!Repayment3[[#This Row],[payment_status]]="Full",0,IF([1]!Repayment3[[#This Row],[payment_status]]="Partial",0.5,1))</f>
        <v>0.5</v>
      </c>
      <c r="C124">
        <f>_xlfn.XLOOKUP(Summary38[[#This Row],[loan_id]],[1]!Loans[loan_id],[1]!Loans[structural_risk])</f>
        <v>0.5</v>
      </c>
      <c r="D124">
        <f>Summary38[[#This Row],[risk_weight]]+Summary38[[#This Row],[stuctural_risk]]</f>
        <v>1</v>
      </c>
      <c r="E124">
        <f>_xlfn.XLOOKUP(Summary38[[#This Row],[loan_id]],[1]!Risk2[loan_id],[1]!Risk2[total_risk])</f>
        <v>0.5</v>
      </c>
      <c r="F124" s="3">
        <f>Summary38[[#This Row],[total_risk_M03]]-Summary38[[#This Row],[total_risk_M02]]</f>
        <v>0.5</v>
      </c>
      <c r="G124" t="str">
        <f>_xlfn.XLOOKUP(Summary38[[#This Row],[loan_id]],[1]!Loans[loan_id],[1]!Loans[loan_size_band])</f>
        <v>Medium</v>
      </c>
    </row>
    <row r="125" spans="1:7" x14ac:dyDescent="0.25">
      <c r="A125" t="s">
        <v>129</v>
      </c>
      <c r="B125">
        <f>IF([1]!Repayment3[[#This Row],[payment_status]]="Full",0,IF([1]!Repayment3[[#This Row],[payment_status]]="Partial",0.5,1))</f>
        <v>0.5</v>
      </c>
      <c r="C125">
        <f>_xlfn.XLOOKUP(Summary38[[#This Row],[loan_id]],[1]!Loans[loan_id],[1]!Loans[structural_risk])</f>
        <v>0.5</v>
      </c>
      <c r="D125">
        <f>Summary38[[#This Row],[risk_weight]]+Summary38[[#This Row],[stuctural_risk]]</f>
        <v>1</v>
      </c>
      <c r="E125">
        <f>_xlfn.XLOOKUP(Summary38[[#This Row],[loan_id]],[1]!Risk2[loan_id],[1]!Risk2[total_risk])</f>
        <v>0.5</v>
      </c>
      <c r="F125" s="3">
        <f>Summary38[[#This Row],[total_risk_M03]]-Summary38[[#This Row],[total_risk_M02]]</f>
        <v>0.5</v>
      </c>
      <c r="G125" t="str">
        <f>_xlfn.XLOOKUP(Summary38[[#This Row],[loan_id]],[1]!Loans[loan_id],[1]!Loans[loan_size_band])</f>
        <v>Medium</v>
      </c>
    </row>
    <row r="126" spans="1:7" x14ac:dyDescent="0.25">
      <c r="A126" t="s">
        <v>130</v>
      </c>
      <c r="B126">
        <f>IF([1]!Repayment3[[#This Row],[payment_status]]="Full",0,IF([1]!Repayment3[[#This Row],[payment_status]]="Partial",0.5,1))</f>
        <v>0.5</v>
      </c>
      <c r="C126">
        <f>_xlfn.XLOOKUP(Summary38[[#This Row],[loan_id]],[1]!Loans[loan_id],[1]!Loans[structural_risk])</f>
        <v>0.5</v>
      </c>
      <c r="D126">
        <f>Summary38[[#This Row],[risk_weight]]+Summary38[[#This Row],[stuctural_risk]]</f>
        <v>1</v>
      </c>
      <c r="E126">
        <f>_xlfn.XLOOKUP(Summary38[[#This Row],[loan_id]],[1]!Risk2[loan_id],[1]!Risk2[total_risk])</f>
        <v>0.5</v>
      </c>
      <c r="F126" s="3">
        <f>Summary38[[#This Row],[total_risk_M03]]-Summary38[[#This Row],[total_risk_M02]]</f>
        <v>0.5</v>
      </c>
      <c r="G126" t="str">
        <f>_xlfn.XLOOKUP(Summary38[[#This Row],[loan_id]],[1]!Loans[loan_id],[1]!Loans[loan_size_band])</f>
        <v>Medium</v>
      </c>
    </row>
    <row r="127" spans="1:7" x14ac:dyDescent="0.25">
      <c r="A127" t="s">
        <v>131</v>
      </c>
      <c r="B127">
        <f>IF([1]!Repayment3[[#This Row],[payment_status]]="Full",0,IF([1]!Repayment3[[#This Row],[payment_status]]="Partial",0.5,1))</f>
        <v>0.5</v>
      </c>
      <c r="C127">
        <f>_xlfn.XLOOKUP(Summary38[[#This Row],[loan_id]],[1]!Loans[loan_id],[1]!Loans[structural_risk])</f>
        <v>0.5</v>
      </c>
      <c r="D127">
        <f>Summary38[[#This Row],[risk_weight]]+Summary38[[#This Row],[stuctural_risk]]</f>
        <v>1</v>
      </c>
      <c r="E127">
        <f>_xlfn.XLOOKUP(Summary38[[#This Row],[loan_id]],[1]!Risk2[loan_id],[1]!Risk2[total_risk])</f>
        <v>0.5</v>
      </c>
      <c r="F127" s="3">
        <f>Summary38[[#This Row],[total_risk_M03]]-Summary38[[#This Row],[total_risk_M02]]</f>
        <v>0.5</v>
      </c>
      <c r="G127" t="str">
        <f>_xlfn.XLOOKUP(Summary38[[#This Row],[loan_id]],[1]!Loans[loan_id],[1]!Loans[loan_size_band])</f>
        <v>Medium</v>
      </c>
    </row>
    <row r="128" spans="1:7" x14ac:dyDescent="0.25">
      <c r="A128" t="s">
        <v>132</v>
      </c>
      <c r="B128">
        <f>IF([1]!Repayment3[[#This Row],[payment_status]]="Full",0,IF([1]!Repayment3[[#This Row],[payment_status]]="Partial",0.5,1))</f>
        <v>0.5</v>
      </c>
      <c r="C128">
        <f>_xlfn.XLOOKUP(Summary38[[#This Row],[loan_id]],[1]!Loans[loan_id],[1]!Loans[structural_risk])</f>
        <v>0.5</v>
      </c>
      <c r="D128">
        <f>Summary38[[#This Row],[risk_weight]]+Summary38[[#This Row],[stuctural_risk]]</f>
        <v>1</v>
      </c>
      <c r="E128">
        <f>_xlfn.XLOOKUP(Summary38[[#This Row],[loan_id]],[1]!Risk2[loan_id],[1]!Risk2[total_risk])</f>
        <v>0.5</v>
      </c>
      <c r="F128" s="3">
        <f>Summary38[[#This Row],[total_risk_M03]]-Summary38[[#This Row],[total_risk_M02]]</f>
        <v>0.5</v>
      </c>
      <c r="G128" t="str">
        <f>_xlfn.XLOOKUP(Summary38[[#This Row],[loan_id]],[1]!Loans[loan_id],[1]!Loans[loan_size_band])</f>
        <v>Medium</v>
      </c>
    </row>
    <row r="129" spans="1:7" x14ac:dyDescent="0.25">
      <c r="A129" t="s">
        <v>133</v>
      </c>
      <c r="B129">
        <f>IF([1]!Repayment3[[#This Row],[payment_status]]="Full",0,IF([1]!Repayment3[[#This Row],[payment_status]]="Partial",0.5,1))</f>
        <v>0.5</v>
      </c>
      <c r="C129">
        <f>_xlfn.XLOOKUP(Summary38[[#This Row],[loan_id]],[1]!Loans[loan_id],[1]!Loans[structural_risk])</f>
        <v>0.5</v>
      </c>
      <c r="D129">
        <f>Summary38[[#This Row],[risk_weight]]+Summary38[[#This Row],[stuctural_risk]]</f>
        <v>1</v>
      </c>
      <c r="E129">
        <f>_xlfn.XLOOKUP(Summary38[[#This Row],[loan_id]],[1]!Risk2[loan_id],[1]!Risk2[total_risk])</f>
        <v>0.5</v>
      </c>
      <c r="F129" s="3">
        <f>Summary38[[#This Row],[total_risk_M03]]-Summary38[[#This Row],[total_risk_M02]]</f>
        <v>0.5</v>
      </c>
      <c r="G129" t="str">
        <f>_xlfn.XLOOKUP(Summary38[[#This Row],[loan_id]],[1]!Loans[loan_id],[1]!Loans[loan_size_band])</f>
        <v>Medium</v>
      </c>
    </row>
    <row r="130" spans="1:7" x14ac:dyDescent="0.25">
      <c r="A130" t="s">
        <v>134</v>
      </c>
      <c r="B130">
        <f>IF([1]!Repayment3[[#This Row],[payment_status]]="Full",0,IF([1]!Repayment3[[#This Row],[payment_status]]="Partial",0.5,1))</f>
        <v>0.5</v>
      </c>
      <c r="C130">
        <f>_xlfn.XLOOKUP(Summary38[[#This Row],[loan_id]],[1]!Loans[loan_id],[1]!Loans[structural_risk])</f>
        <v>0.2</v>
      </c>
      <c r="D130">
        <f>Summary38[[#This Row],[risk_weight]]+Summary38[[#This Row],[stuctural_risk]]</f>
        <v>0.7</v>
      </c>
      <c r="E130">
        <f>_xlfn.XLOOKUP(Summary38[[#This Row],[loan_id]],[1]!Risk2[loan_id],[1]!Risk2[total_risk])</f>
        <v>0.2</v>
      </c>
      <c r="F130" s="3">
        <f>Summary38[[#This Row],[total_risk_M03]]-Summary38[[#This Row],[total_risk_M02]]</f>
        <v>0.49999999999999994</v>
      </c>
      <c r="G130" t="str">
        <f>_xlfn.XLOOKUP(Summary38[[#This Row],[loan_id]],[1]!Loans[loan_id],[1]!Loans[loan_size_band])</f>
        <v>Small</v>
      </c>
    </row>
    <row r="131" spans="1:7" x14ac:dyDescent="0.25">
      <c r="A131" t="s">
        <v>135</v>
      </c>
      <c r="B131">
        <f>IF([1]!Repayment3[[#This Row],[payment_status]]="Full",0,IF([1]!Repayment3[[#This Row],[payment_status]]="Partial",0.5,1))</f>
        <v>0.5</v>
      </c>
      <c r="C131">
        <f>_xlfn.XLOOKUP(Summary38[[#This Row],[loan_id]],[1]!Loans[loan_id],[1]!Loans[structural_risk])</f>
        <v>0.8</v>
      </c>
      <c r="D131">
        <f>Summary38[[#This Row],[risk_weight]]+Summary38[[#This Row],[stuctural_risk]]</f>
        <v>1.3</v>
      </c>
      <c r="E131">
        <f>_xlfn.XLOOKUP(Summary38[[#This Row],[loan_id]],[1]!Risk2[loan_id],[1]!Risk2[total_risk])</f>
        <v>0.8</v>
      </c>
      <c r="F131" s="3">
        <f>Summary38[[#This Row],[total_risk_M03]]-Summary38[[#This Row],[total_risk_M02]]</f>
        <v>0.5</v>
      </c>
      <c r="G131" t="str">
        <f>_xlfn.XLOOKUP(Summary38[[#This Row],[loan_id]],[1]!Loans[loan_id],[1]!Loans[loan_size_band])</f>
        <v>Large</v>
      </c>
    </row>
    <row r="132" spans="1:7" x14ac:dyDescent="0.25">
      <c r="A132" t="s">
        <v>136</v>
      </c>
      <c r="B132">
        <f>IF([1]!Repayment3[[#This Row],[payment_status]]="Full",0,IF([1]!Repayment3[[#This Row],[payment_status]]="Partial",0.5,1))</f>
        <v>0.5</v>
      </c>
      <c r="C132">
        <f>_xlfn.XLOOKUP(Summary38[[#This Row],[loan_id]],[1]!Loans[loan_id],[1]!Loans[structural_risk])</f>
        <v>0.8</v>
      </c>
      <c r="D132">
        <f>Summary38[[#This Row],[risk_weight]]+Summary38[[#This Row],[stuctural_risk]]</f>
        <v>1.3</v>
      </c>
      <c r="E132">
        <f>_xlfn.XLOOKUP(Summary38[[#This Row],[loan_id]],[1]!Risk2[loan_id],[1]!Risk2[total_risk])</f>
        <v>0.8</v>
      </c>
      <c r="F132" s="3">
        <f>Summary38[[#This Row],[total_risk_M03]]-Summary38[[#This Row],[total_risk_M02]]</f>
        <v>0.5</v>
      </c>
      <c r="G132" t="str">
        <f>_xlfn.XLOOKUP(Summary38[[#This Row],[loan_id]],[1]!Loans[loan_id],[1]!Loans[loan_size_band])</f>
        <v>Large</v>
      </c>
    </row>
    <row r="133" spans="1:7" x14ac:dyDescent="0.25">
      <c r="A133" t="s">
        <v>137</v>
      </c>
      <c r="B133">
        <f>IF([1]!Repayment3[[#This Row],[payment_status]]="Full",0,IF([1]!Repayment3[[#This Row],[payment_status]]="Partial",0.5,1))</f>
        <v>0.5</v>
      </c>
      <c r="C133">
        <f>_xlfn.XLOOKUP(Summary38[[#This Row],[loan_id]],[1]!Loans[loan_id],[1]!Loans[structural_risk])</f>
        <v>0.8</v>
      </c>
      <c r="D133">
        <f>Summary38[[#This Row],[risk_weight]]+Summary38[[#This Row],[stuctural_risk]]</f>
        <v>1.3</v>
      </c>
      <c r="E133">
        <f>_xlfn.XLOOKUP(Summary38[[#This Row],[loan_id]],[1]!Risk2[loan_id],[1]!Risk2[total_risk])</f>
        <v>0.8</v>
      </c>
      <c r="F133" s="3">
        <f>Summary38[[#This Row],[total_risk_M03]]-Summary38[[#This Row],[total_risk_M02]]</f>
        <v>0.5</v>
      </c>
      <c r="G133" t="str">
        <f>_xlfn.XLOOKUP(Summary38[[#This Row],[loan_id]],[1]!Loans[loan_id],[1]!Loans[loan_size_band])</f>
        <v>Large</v>
      </c>
    </row>
    <row r="134" spans="1:7" x14ac:dyDescent="0.25">
      <c r="A134" t="s">
        <v>138</v>
      </c>
      <c r="B134">
        <f>IF([1]!Repayment3[[#This Row],[payment_status]]="Full",0,IF([1]!Repayment3[[#This Row],[payment_status]]="Partial",0.5,1))</f>
        <v>0.5</v>
      </c>
      <c r="C134">
        <f>_xlfn.XLOOKUP(Summary38[[#This Row],[loan_id]],[1]!Loans[loan_id],[1]!Loans[structural_risk])</f>
        <v>0.8</v>
      </c>
      <c r="D134">
        <f>Summary38[[#This Row],[risk_weight]]+Summary38[[#This Row],[stuctural_risk]]</f>
        <v>1.3</v>
      </c>
      <c r="E134">
        <f>_xlfn.XLOOKUP(Summary38[[#This Row],[loan_id]],[1]!Risk2[loan_id],[1]!Risk2[total_risk])</f>
        <v>0.8</v>
      </c>
      <c r="F134" s="3">
        <f>Summary38[[#This Row],[total_risk_M03]]-Summary38[[#This Row],[total_risk_M02]]</f>
        <v>0.5</v>
      </c>
      <c r="G134" t="str">
        <f>_xlfn.XLOOKUP(Summary38[[#This Row],[loan_id]],[1]!Loans[loan_id],[1]!Loans[loan_size_band])</f>
        <v>Large</v>
      </c>
    </row>
    <row r="135" spans="1:7" x14ac:dyDescent="0.25">
      <c r="A135" t="s">
        <v>139</v>
      </c>
      <c r="B135">
        <f>IF([1]!Repayment3[[#This Row],[payment_status]]="Full",0,IF([1]!Repayment3[[#This Row],[payment_status]]="Partial",0.5,1))</f>
        <v>0.5</v>
      </c>
      <c r="C135">
        <f>_xlfn.XLOOKUP(Summary38[[#This Row],[loan_id]],[1]!Loans[loan_id],[1]!Loans[structural_risk])</f>
        <v>0.8</v>
      </c>
      <c r="D135">
        <f>Summary38[[#This Row],[risk_weight]]+Summary38[[#This Row],[stuctural_risk]]</f>
        <v>1.3</v>
      </c>
      <c r="E135">
        <f>_xlfn.XLOOKUP(Summary38[[#This Row],[loan_id]],[1]!Risk2[loan_id],[1]!Risk2[total_risk])</f>
        <v>0.8</v>
      </c>
      <c r="F135" s="3">
        <f>Summary38[[#This Row],[total_risk_M03]]-Summary38[[#This Row],[total_risk_M02]]</f>
        <v>0.5</v>
      </c>
      <c r="G135" t="str">
        <f>_xlfn.XLOOKUP(Summary38[[#This Row],[loan_id]],[1]!Loans[loan_id],[1]!Loans[loan_size_band])</f>
        <v>Large</v>
      </c>
    </row>
    <row r="136" spans="1:7" x14ac:dyDescent="0.25">
      <c r="A136" t="s">
        <v>140</v>
      </c>
      <c r="B136">
        <f>IF([1]!Repayment3[[#This Row],[payment_status]]="Full",0,IF([1]!Repayment3[[#This Row],[payment_status]]="Partial",0.5,1))</f>
        <v>0.5</v>
      </c>
      <c r="C136">
        <f>_xlfn.XLOOKUP(Summary38[[#This Row],[loan_id]],[1]!Loans[loan_id],[1]!Loans[structural_risk])</f>
        <v>0.8</v>
      </c>
      <c r="D136">
        <f>Summary38[[#This Row],[risk_weight]]+Summary38[[#This Row],[stuctural_risk]]</f>
        <v>1.3</v>
      </c>
      <c r="E136">
        <f>_xlfn.XLOOKUP(Summary38[[#This Row],[loan_id]],[1]!Risk2[loan_id],[1]!Risk2[total_risk])</f>
        <v>0.8</v>
      </c>
      <c r="F136" s="3">
        <f>Summary38[[#This Row],[total_risk_M03]]-Summary38[[#This Row],[total_risk_M02]]</f>
        <v>0.5</v>
      </c>
      <c r="G136" t="str">
        <f>_xlfn.XLOOKUP(Summary38[[#This Row],[loan_id]],[1]!Loans[loan_id],[1]!Loans[loan_size_band])</f>
        <v>Large</v>
      </c>
    </row>
    <row r="137" spans="1:7" x14ac:dyDescent="0.25">
      <c r="A137" t="s">
        <v>141</v>
      </c>
      <c r="B137">
        <f>IF([1]!Repayment3[[#This Row],[payment_status]]="Full",0,IF([1]!Repayment3[[#This Row],[payment_status]]="Partial",0.5,1))</f>
        <v>0.5</v>
      </c>
      <c r="C137">
        <f>_xlfn.XLOOKUP(Summary38[[#This Row],[loan_id]],[1]!Loans[loan_id],[1]!Loans[structural_risk])</f>
        <v>0.8</v>
      </c>
      <c r="D137">
        <f>Summary38[[#This Row],[risk_weight]]+Summary38[[#This Row],[stuctural_risk]]</f>
        <v>1.3</v>
      </c>
      <c r="E137">
        <f>_xlfn.XLOOKUP(Summary38[[#This Row],[loan_id]],[1]!Risk2[loan_id],[1]!Risk2[total_risk])</f>
        <v>0.8</v>
      </c>
      <c r="F137" s="3">
        <f>Summary38[[#This Row],[total_risk_M03]]-Summary38[[#This Row],[total_risk_M02]]</f>
        <v>0.5</v>
      </c>
      <c r="G137" t="str">
        <f>_xlfn.XLOOKUP(Summary38[[#This Row],[loan_id]],[1]!Loans[loan_id],[1]!Loans[loan_size_band])</f>
        <v>Large</v>
      </c>
    </row>
    <row r="138" spans="1:7" x14ac:dyDescent="0.25">
      <c r="A138" t="s">
        <v>142</v>
      </c>
      <c r="B138">
        <f>IF([1]!Repayment3[[#This Row],[payment_status]]="Full",0,IF([1]!Repayment3[[#This Row],[payment_status]]="Partial",0.5,1))</f>
        <v>0.5</v>
      </c>
      <c r="C138">
        <f>_xlfn.XLOOKUP(Summary38[[#This Row],[loan_id]],[1]!Loans[loan_id],[1]!Loans[structural_risk])</f>
        <v>0.8</v>
      </c>
      <c r="D138">
        <f>Summary38[[#This Row],[risk_weight]]+Summary38[[#This Row],[stuctural_risk]]</f>
        <v>1.3</v>
      </c>
      <c r="E138">
        <f>_xlfn.XLOOKUP(Summary38[[#This Row],[loan_id]],[1]!Risk2[loan_id],[1]!Risk2[total_risk])</f>
        <v>0.8</v>
      </c>
      <c r="F138" s="3">
        <f>Summary38[[#This Row],[total_risk_M03]]-Summary38[[#This Row],[total_risk_M02]]</f>
        <v>0.5</v>
      </c>
      <c r="G138" t="str">
        <f>_xlfn.XLOOKUP(Summary38[[#This Row],[loan_id]],[1]!Loans[loan_id],[1]!Loans[loan_size_band])</f>
        <v>Large</v>
      </c>
    </row>
    <row r="139" spans="1:7" x14ac:dyDescent="0.25">
      <c r="A139" t="s">
        <v>143</v>
      </c>
      <c r="B139">
        <f>IF([1]!Repayment3[[#This Row],[payment_status]]="Full",0,IF([1]!Repayment3[[#This Row],[payment_status]]="Partial",0.5,1))</f>
        <v>0.5</v>
      </c>
      <c r="C139">
        <f>_xlfn.XLOOKUP(Summary38[[#This Row],[loan_id]],[1]!Loans[loan_id],[1]!Loans[structural_risk])</f>
        <v>0.8</v>
      </c>
      <c r="D139">
        <f>Summary38[[#This Row],[risk_weight]]+Summary38[[#This Row],[stuctural_risk]]</f>
        <v>1.3</v>
      </c>
      <c r="E139">
        <f>_xlfn.XLOOKUP(Summary38[[#This Row],[loan_id]],[1]!Risk2[loan_id],[1]!Risk2[total_risk])</f>
        <v>0.8</v>
      </c>
      <c r="F139" s="3">
        <f>Summary38[[#This Row],[total_risk_M03]]-Summary38[[#This Row],[total_risk_M02]]</f>
        <v>0.5</v>
      </c>
      <c r="G139" t="str">
        <f>_xlfn.XLOOKUP(Summary38[[#This Row],[loan_id]],[1]!Loans[loan_id],[1]!Loans[loan_size_band])</f>
        <v>Large</v>
      </c>
    </row>
    <row r="140" spans="1:7" x14ac:dyDescent="0.25">
      <c r="A140" t="s">
        <v>144</v>
      </c>
      <c r="B140">
        <f>IF([1]!Repayment3[[#This Row],[payment_status]]="Full",0,IF([1]!Repayment3[[#This Row],[payment_status]]="Partial",0.5,1))</f>
        <v>0.5</v>
      </c>
      <c r="C140">
        <f>_xlfn.XLOOKUP(Summary38[[#This Row],[loan_id]],[1]!Loans[loan_id],[1]!Loans[structural_risk])</f>
        <v>0.8</v>
      </c>
      <c r="D140">
        <f>Summary38[[#This Row],[risk_weight]]+Summary38[[#This Row],[stuctural_risk]]</f>
        <v>1.3</v>
      </c>
      <c r="E140">
        <f>_xlfn.XLOOKUP(Summary38[[#This Row],[loan_id]],[1]!Risk2[loan_id],[1]!Risk2[total_risk])</f>
        <v>0.8</v>
      </c>
      <c r="F140" s="3">
        <f>Summary38[[#This Row],[total_risk_M03]]-Summary38[[#This Row],[total_risk_M02]]</f>
        <v>0.5</v>
      </c>
      <c r="G140" t="str">
        <f>_xlfn.XLOOKUP(Summary38[[#This Row],[loan_id]],[1]!Loans[loan_id],[1]!Loans[loan_size_band])</f>
        <v>Large</v>
      </c>
    </row>
    <row r="141" spans="1:7" x14ac:dyDescent="0.25">
      <c r="A141" t="s">
        <v>145</v>
      </c>
      <c r="B141">
        <f>IF([1]!Repayment3[[#This Row],[payment_status]]="Full",0,IF([1]!Repayment3[[#This Row],[payment_status]]="Partial",0.5,1))</f>
        <v>0.5</v>
      </c>
      <c r="C141">
        <f>_xlfn.XLOOKUP(Summary38[[#This Row],[loan_id]],[1]!Loans[loan_id],[1]!Loans[structural_risk])</f>
        <v>0.8</v>
      </c>
      <c r="D141">
        <f>Summary38[[#This Row],[risk_weight]]+Summary38[[#This Row],[stuctural_risk]]</f>
        <v>1.3</v>
      </c>
      <c r="E141">
        <f>_xlfn.XLOOKUP(Summary38[[#This Row],[loan_id]],[1]!Risk2[loan_id],[1]!Risk2[total_risk])</f>
        <v>0.8</v>
      </c>
      <c r="F141" s="3">
        <f>Summary38[[#This Row],[total_risk_M03]]-Summary38[[#This Row],[total_risk_M02]]</f>
        <v>0.5</v>
      </c>
      <c r="G141" t="str">
        <f>_xlfn.XLOOKUP(Summary38[[#This Row],[loan_id]],[1]!Loans[loan_id],[1]!Loans[loan_size_band])</f>
        <v>Large</v>
      </c>
    </row>
    <row r="142" spans="1:7" x14ac:dyDescent="0.25">
      <c r="A142" t="s">
        <v>146</v>
      </c>
      <c r="B142">
        <f>IF([1]!Repayment3[[#This Row],[payment_status]]="Full",0,IF([1]!Repayment3[[#This Row],[payment_status]]="Partial",0.5,1))</f>
        <v>0.5</v>
      </c>
      <c r="C142">
        <f>_xlfn.XLOOKUP(Summary38[[#This Row],[loan_id]],[1]!Loans[loan_id],[1]!Loans[structural_risk])</f>
        <v>0.8</v>
      </c>
      <c r="D142">
        <f>Summary38[[#This Row],[risk_weight]]+Summary38[[#This Row],[stuctural_risk]]</f>
        <v>1.3</v>
      </c>
      <c r="E142">
        <f>_xlfn.XLOOKUP(Summary38[[#This Row],[loan_id]],[1]!Risk2[loan_id],[1]!Risk2[total_risk])</f>
        <v>0.8</v>
      </c>
      <c r="F142" s="3">
        <f>Summary38[[#This Row],[total_risk_M03]]-Summary38[[#This Row],[total_risk_M02]]</f>
        <v>0.5</v>
      </c>
      <c r="G142" t="str">
        <f>_xlfn.XLOOKUP(Summary38[[#This Row],[loan_id]],[1]!Loans[loan_id],[1]!Loans[loan_size_band])</f>
        <v>Large</v>
      </c>
    </row>
    <row r="143" spans="1:7" x14ac:dyDescent="0.25">
      <c r="A143" t="s">
        <v>147</v>
      </c>
      <c r="B143">
        <f>IF([1]!Repayment3[[#This Row],[payment_status]]="Full",0,IF([1]!Repayment3[[#This Row],[payment_status]]="Partial",0.5,1))</f>
        <v>0.5</v>
      </c>
      <c r="C143">
        <f>_xlfn.XLOOKUP(Summary38[[#This Row],[loan_id]],[1]!Loans[loan_id],[1]!Loans[structural_risk])</f>
        <v>0.8</v>
      </c>
      <c r="D143">
        <f>Summary38[[#This Row],[risk_weight]]+Summary38[[#This Row],[stuctural_risk]]</f>
        <v>1.3</v>
      </c>
      <c r="E143">
        <f>_xlfn.XLOOKUP(Summary38[[#This Row],[loan_id]],[1]!Risk2[loan_id],[1]!Risk2[total_risk])</f>
        <v>0.8</v>
      </c>
      <c r="F143" s="3">
        <f>Summary38[[#This Row],[total_risk_M03]]-Summary38[[#This Row],[total_risk_M02]]</f>
        <v>0.5</v>
      </c>
      <c r="G143" t="str">
        <f>_xlfn.XLOOKUP(Summary38[[#This Row],[loan_id]],[1]!Loans[loan_id],[1]!Loans[loan_size_band])</f>
        <v>Large</v>
      </c>
    </row>
    <row r="144" spans="1:7" x14ac:dyDescent="0.25">
      <c r="A144" t="s">
        <v>148</v>
      </c>
      <c r="B144">
        <f>IF([1]!Repayment3[[#This Row],[payment_status]]="Full",0,IF([1]!Repayment3[[#This Row],[payment_status]]="Partial",0.5,1))</f>
        <v>0.5</v>
      </c>
      <c r="C144">
        <f>_xlfn.XLOOKUP(Summary38[[#This Row],[loan_id]],[1]!Loans[loan_id],[1]!Loans[structural_risk])</f>
        <v>0.8</v>
      </c>
      <c r="D144">
        <f>Summary38[[#This Row],[risk_weight]]+Summary38[[#This Row],[stuctural_risk]]</f>
        <v>1.3</v>
      </c>
      <c r="E144">
        <f>_xlfn.XLOOKUP(Summary38[[#This Row],[loan_id]],[1]!Risk2[loan_id],[1]!Risk2[total_risk])</f>
        <v>0.8</v>
      </c>
      <c r="F144" s="3">
        <f>Summary38[[#This Row],[total_risk_M03]]-Summary38[[#This Row],[total_risk_M02]]</f>
        <v>0.5</v>
      </c>
      <c r="G144" t="str">
        <f>_xlfn.XLOOKUP(Summary38[[#This Row],[loan_id]],[1]!Loans[loan_id],[1]!Loans[loan_size_band])</f>
        <v>Large</v>
      </c>
    </row>
    <row r="145" spans="1:7" x14ac:dyDescent="0.25">
      <c r="A145" t="s">
        <v>149</v>
      </c>
      <c r="B145">
        <f>IF([1]!Repayment3[[#This Row],[payment_status]]="Full",0,IF([1]!Repayment3[[#This Row],[payment_status]]="Partial",0.5,1))</f>
        <v>0.5</v>
      </c>
      <c r="C145">
        <f>_xlfn.XLOOKUP(Summary38[[#This Row],[loan_id]],[1]!Loans[loan_id],[1]!Loans[structural_risk])</f>
        <v>0.8</v>
      </c>
      <c r="D145">
        <f>Summary38[[#This Row],[risk_weight]]+Summary38[[#This Row],[stuctural_risk]]</f>
        <v>1.3</v>
      </c>
      <c r="E145">
        <f>_xlfn.XLOOKUP(Summary38[[#This Row],[loan_id]],[1]!Risk2[loan_id],[1]!Risk2[total_risk])</f>
        <v>0.8</v>
      </c>
      <c r="F145" s="3">
        <f>Summary38[[#This Row],[total_risk_M03]]-Summary38[[#This Row],[total_risk_M02]]</f>
        <v>0.5</v>
      </c>
      <c r="G145" t="str">
        <f>_xlfn.XLOOKUP(Summary38[[#This Row],[loan_id]],[1]!Loans[loan_id],[1]!Loans[loan_size_band])</f>
        <v>Large</v>
      </c>
    </row>
    <row r="146" spans="1:7" x14ac:dyDescent="0.25">
      <c r="A146" t="s">
        <v>150</v>
      </c>
      <c r="B146">
        <f>IF([1]!Repayment3[[#This Row],[payment_status]]="Full",0,IF([1]!Repayment3[[#This Row],[payment_status]]="Partial",0.5,1))</f>
        <v>0.5</v>
      </c>
      <c r="C146">
        <f>_xlfn.XLOOKUP(Summary38[[#This Row],[loan_id]],[1]!Loans[loan_id],[1]!Loans[structural_risk])</f>
        <v>0.8</v>
      </c>
      <c r="D146">
        <f>Summary38[[#This Row],[risk_weight]]+Summary38[[#This Row],[stuctural_risk]]</f>
        <v>1.3</v>
      </c>
      <c r="E146">
        <f>_xlfn.XLOOKUP(Summary38[[#This Row],[loan_id]],[1]!Risk2[loan_id],[1]!Risk2[total_risk])</f>
        <v>0.8</v>
      </c>
      <c r="F146" s="3">
        <f>Summary38[[#This Row],[total_risk_M03]]-Summary38[[#This Row],[total_risk_M02]]</f>
        <v>0.5</v>
      </c>
      <c r="G146" t="str">
        <f>_xlfn.XLOOKUP(Summary38[[#This Row],[loan_id]],[1]!Loans[loan_id],[1]!Loans[loan_size_band])</f>
        <v>Large</v>
      </c>
    </row>
    <row r="147" spans="1:7" x14ac:dyDescent="0.25">
      <c r="A147" t="s">
        <v>151</v>
      </c>
      <c r="B147">
        <f>IF([1]!Repayment3[[#This Row],[payment_status]]="Full",0,IF([1]!Repayment3[[#This Row],[payment_status]]="Partial",0.5,1))</f>
        <v>0.5</v>
      </c>
      <c r="C147">
        <f>_xlfn.XLOOKUP(Summary38[[#This Row],[loan_id]],[1]!Loans[loan_id],[1]!Loans[structural_risk])</f>
        <v>0.8</v>
      </c>
      <c r="D147">
        <f>Summary38[[#This Row],[risk_weight]]+Summary38[[#This Row],[stuctural_risk]]</f>
        <v>1.3</v>
      </c>
      <c r="E147">
        <f>_xlfn.XLOOKUP(Summary38[[#This Row],[loan_id]],[1]!Risk2[loan_id],[1]!Risk2[total_risk])</f>
        <v>0.8</v>
      </c>
      <c r="F147" s="3">
        <f>Summary38[[#This Row],[total_risk_M03]]-Summary38[[#This Row],[total_risk_M02]]</f>
        <v>0.5</v>
      </c>
      <c r="G147" t="str">
        <f>_xlfn.XLOOKUP(Summary38[[#This Row],[loan_id]],[1]!Loans[loan_id],[1]!Loans[loan_size_band])</f>
        <v>Large</v>
      </c>
    </row>
    <row r="148" spans="1:7" x14ac:dyDescent="0.25">
      <c r="A148" t="s">
        <v>152</v>
      </c>
      <c r="B148">
        <f>IF([1]!Repayment3[[#This Row],[payment_status]]="Full",0,IF([1]!Repayment3[[#This Row],[payment_status]]="Partial",0.5,1))</f>
        <v>0.5</v>
      </c>
      <c r="C148">
        <f>_xlfn.XLOOKUP(Summary38[[#This Row],[loan_id]],[1]!Loans[loan_id],[1]!Loans[structural_risk])</f>
        <v>0.8</v>
      </c>
      <c r="D148">
        <f>Summary38[[#This Row],[risk_weight]]+Summary38[[#This Row],[stuctural_risk]]</f>
        <v>1.3</v>
      </c>
      <c r="E148">
        <f>_xlfn.XLOOKUP(Summary38[[#This Row],[loan_id]],[1]!Risk2[loan_id],[1]!Risk2[total_risk])</f>
        <v>0.8</v>
      </c>
      <c r="F148" s="3">
        <f>Summary38[[#This Row],[total_risk_M03]]-Summary38[[#This Row],[total_risk_M02]]</f>
        <v>0.5</v>
      </c>
      <c r="G148" t="str">
        <f>_xlfn.XLOOKUP(Summary38[[#This Row],[loan_id]],[1]!Loans[loan_id],[1]!Loans[loan_size_band])</f>
        <v>Large</v>
      </c>
    </row>
    <row r="149" spans="1:7" x14ac:dyDescent="0.25">
      <c r="A149" t="s">
        <v>153</v>
      </c>
      <c r="B149">
        <f>IF([1]!Repayment3[[#This Row],[payment_status]]="Full",0,IF([1]!Repayment3[[#This Row],[payment_status]]="Partial",0.5,1))</f>
        <v>0.5</v>
      </c>
      <c r="C149">
        <f>_xlfn.XLOOKUP(Summary38[[#This Row],[loan_id]],[1]!Loans[loan_id],[1]!Loans[structural_risk])</f>
        <v>0.8</v>
      </c>
      <c r="D149">
        <f>Summary38[[#This Row],[risk_weight]]+Summary38[[#This Row],[stuctural_risk]]</f>
        <v>1.3</v>
      </c>
      <c r="E149">
        <f>_xlfn.XLOOKUP(Summary38[[#This Row],[loan_id]],[1]!Risk2[loan_id],[1]!Risk2[total_risk])</f>
        <v>0.8</v>
      </c>
      <c r="F149" s="3">
        <f>Summary38[[#This Row],[total_risk_M03]]-Summary38[[#This Row],[total_risk_M02]]</f>
        <v>0.5</v>
      </c>
      <c r="G149" t="str">
        <f>_xlfn.XLOOKUP(Summary38[[#This Row],[loan_id]],[1]!Loans[loan_id],[1]!Loans[loan_size_band])</f>
        <v>Large</v>
      </c>
    </row>
    <row r="150" spans="1:7" x14ac:dyDescent="0.25">
      <c r="A150" t="s">
        <v>154</v>
      </c>
      <c r="B150">
        <f>IF([1]!Repayment3[[#This Row],[payment_status]]="Full",0,IF([1]!Repayment3[[#This Row],[payment_status]]="Partial",0.5,1))</f>
        <v>0.5</v>
      </c>
      <c r="C150">
        <f>_xlfn.XLOOKUP(Summary38[[#This Row],[loan_id]],[1]!Loans[loan_id],[1]!Loans[structural_risk])</f>
        <v>0.8</v>
      </c>
      <c r="D150">
        <f>Summary38[[#This Row],[risk_weight]]+Summary38[[#This Row],[stuctural_risk]]</f>
        <v>1.3</v>
      </c>
      <c r="E150">
        <f>_xlfn.XLOOKUP(Summary38[[#This Row],[loan_id]],[1]!Risk2[loan_id],[1]!Risk2[total_risk])</f>
        <v>0.8</v>
      </c>
      <c r="F150" s="3">
        <f>Summary38[[#This Row],[total_risk_M03]]-Summary38[[#This Row],[total_risk_M02]]</f>
        <v>0.5</v>
      </c>
      <c r="G150" t="str">
        <f>_xlfn.XLOOKUP(Summary38[[#This Row],[loan_id]],[1]!Loans[loan_id],[1]!Loans[loan_size_band])</f>
        <v>Large</v>
      </c>
    </row>
    <row r="151" spans="1:7" x14ac:dyDescent="0.25">
      <c r="A151" t="s">
        <v>155</v>
      </c>
      <c r="B151">
        <f>IF([1]!Repayment3[[#This Row],[payment_status]]="Full",0,IF([1]!Repayment3[[#This Row],[payment_status]]="Partial",0.5,1))</f>
        <v>0.5</v>
      </c>
      <c r="C151">
        <f>_xlfn.XLOOKUP(Summary38[[#This Row],[loan_id]],[1]!Loans[loan_id],[1]!Loans[structural_risk])</f>
        <v>0.8</v>
      </c>
      <c r="D151">
        <f>Summary38[[#This Row],[risk_weight]]+Summary38[[#This Row],[stuctural_risk]]</f>
        <v>1.3</v>
      </c>
      <c r="E151">
        <f>_xlfn.XLOOKUP(Summary38[[#This Row],[loan_id]],[1]!Risk2[loan_id],[1]!Risk2[total_risk])</f>
        <v>0.8</v>
      </c>
      <c r="F151" s="3">
        <f>Summary38[[#This Row],[total_risk_M03]]-Summary38[[#This Row],[total_risk_M02]]</f>
        <v>0.5</v>
      </c>
      <c r="G151" t="str">
        <f>_xlfn.XLOOKUP(Summary38[[#This Row],[loan_id]],[1]!Loans[loan_id],[1]!Loans[loan_size_band])</f>
        <v>Large</v>
      </c>
    </row>
    <row r="152" spans="1:7" x14ac:dyDescent="0.25">
      <c r="A152" t="s">
        <v>156</v>
      </c>
      <c r="B152">
        <f>IF([1]!Repayment3[[#This Row],[payment_status]]="Full",0,IF([1]!Repayment3[[#This Row],[payment_status]]="Partial",0.5,1))</f>
        <v>0.5</v>
      </c>
      <c r="C152">
        <f>_xlfn.XLOOKUP(Summary38[[#This Row],[loan_id]],[1]!Loans[loan_id],[1]!Loans[structural_risk])</f>
        <v>0.8</v>
      </c>
      <c r="D152">
        <f>Summary38[[#This Row],[risk_weight]]+Summary38[[#This Row],[stuctural_risk]]</f>
        <v>1.3</v>
      </c>
      <c r="E152">
        <f>_xlfn.XLOOKUP(Summary38[[#This Row],[loan_id]],[1]!Risk2[loan_id],[1]!Risk2[total_risk])</f>
        <v>0.8</v>
      </c>
      <c r="F152" s="3">
        <f>Summary38[[#This Row],[total_risk_M03]]-Summary38[[#This Row],[total_risk_M02]]</f>
        <v>0.5</v>
      </c>
      <c r="G152" t="str">
        <f>_xlfn.XLOOKUP(Summary38[[#This Row],[loan_id]],[1]!Loans[loan_id],[1]!Loans[loan_size_band])</f>
        <v>Large</v>
      </c>
    </row>
    <row r="153" spans="1:7" x14ac:dyDescent="0.25">
      <c r="A153" t="s">
        <v>157</v>
      </c>
      <c r="B153">
        <f>IF([1]!Repayment3[[#This Row],[payment_status]]="Full",0,IF([1]!Repayment3[[#This Row],[payment_status]]="Partial",0.5,1))</f>
        <v>0.5</v>
      </c>
      <c r="C153">
        <f>_xlfn.XLOOKUP(Summary38[[#This Row],[loan_id]],[1]!Loans[loan_id],[1]!Loans[structural_risk])</f>
        <v>0.8</v>
      </c>
      <c r="D153">
        <f>Summary38[[#This Row],[risk_weight]]+Summary38[[#This Row],[stuctural_risk]]</f>
        <v>1.3</v>
      </c>
      <c r="E153">
        <f>_xlfn.XLOOKUP(Summary38[[#This Row],[loan_id]],[1]!Risk2[loan_id],[1]!Risk2[total_risk])</f>
        <v>0.8</v>
      </c>
      <c r="F153" s="3">
        <f>Summary38[[#This Row],[total_risk_M03]]-Summary38[[#This Row],[total_risk_M02]]</f>
        <v>0.5</v>
      </c>
      <c r="G153" t="str">
        <f>_xlfn.XLOOKUP(Summary38[[#This Row],[loan_id]],[1]!Loans[loan_id],[1]!Loans[loan_size_band])</f>
        <v>Large</v>
      </c>
    </row>
    <row r="154" spans="1:7" x14ac:dyDescent="0.25">
      <c r="A154" t="s">
        <v>158</v>
      </c>
      <c r="B154">
        <f>IF([1]!Repayment3[[#This Row],[payment_status]]="Full",0,IF([1]!Repayment3[[#This Row],[payment_status]]="Partial",0.5,1))</f>
        <v>0.5</v>
      </c>
      <c r="C154">
        <f>_xlfn.XLOOKUP(Summary38[[#This Row],[loan_id]],[1]!Loans[loan_id],[1]!Loans[structural_risk])</f>
        <v>0.8</v>
      </c>
      <c r="D154">
        <f>Summary38[[#This Row],[risk_weight]]+Summary38[[#This Row],[stuctural_risk]]</f>
        <v>1.3</v>
      </c>
      <c r="E154">
        <f>_xlfn.XLOOKUP(Summary38[[#This Row],[loan_id]],[1]!Risk2[loan_id],[1]!Risk2[total_risk])</f>
        <v>1.3</v>
      </c>
      <c r="F154" s="3">
        <f>Summary38[[#This Row],[total_risk_M03]]-Summary38[[#This Row],[total_risk_M02]]</f>
        <v>0</v>
      </c>
      <c r="G154" t="str">
        <f>_xlfn.XLOOKUP(Summary38[[#This Row],[loan_id]],[1]!Loans[loan_id],[1]!Loans[loan_size_band])</f>
        <v>Large</v>
      </c>
    </row>
    <row r="155" spans="1:7" x14ac:dyDescent="0.25">
      <c r="A155" t="s">
        <v>159</v>
      </c>
      <c r="B155">
        <f>IF([1]!Repayment3[[#This Row],[payment_status]]="Full",0,IF([1]!Repayment3[[#This Row],[payment_status]]="Partial",0.5,1))</f>
        <v>0.5</v>
      </c>
      <c r="C155">
        <f>_xlfn.XLOOKUP(Summary38[[#This Row],[loan_id]],[1]!Loans[loan_id],[1]!Loans[structural_risk])</f>
        <v>0.8</v>
      </c>
      <c r="D155">
        <f>Summary38[[#This Row],[risk_weight]]+Summary38[[#This Row],[stuctural_risk]]</f>
        <v>1.3</v>
      </c>
      <c r="E155">
        <f>_xlfn.XLOOKUP(Summary38[[#This Row],[loan_id]],[1]!Risk2[loan_id],[1]!Risk2[total_risk])</f>
        <v>1.3</v>
      </c>
      <c r="F155" s="3">
        <f>Summary38[[#This Row],[total_risk_M03]]-Summary38[[#This Row],[total_risk_M02]]</f>
        <v>0</v>
      </c>
      <c r="G155" t="str">
        <f>_xlfn.XLOOKUP(Summary38[[#This Row],[loan_id]],[1]!Loans[loan_id],[1]!Loans[loan_size_band])</f>
        <v>Large</v>
      </c>
    </row>
    <row r="156" spans="1:7" x14ac:dyDescent="0.25">
      <c r="A156" t="s">
        <v>160</v>
      </c>
      <c r="B156">
        <f>IF([1]!Repayment3[[#This Row],[payment_status]]="Full",0,IF([1]!Repayment3[[#This Row],[payment_status]]="Partial",0.5,1))</f>
        <v>0.5</v>
      </c>
      <c r="C156">
        <f>_xlfn.XLOOKUP(Summary38[[#This Row],[loan_id]],[1]!Loans[loan_id],[1]!Loans[structural_risk])</f>
        <v>0.8</v>
      </c>
      <c r="D156">
        <f>Summary38[[#This Row],[risk_weight]]+Summary38[[#This Row],[stuctural_risk]]</f>
        <v>1.3</v>
      </c>
      <c r="E156">
        <f>_xlfn.XLOOKUP(Summary38[[#This Row],[loan_id]],[1]!Risk2[loan_id],[1]!Risk2[total_risk])</f>
        <v>1.3</v>
      </c>
      <c r="F156" s="3">
        <f>Summary38[[#This Row],[total_risk_M03]]-Summary38[[#This Row],[total_risk_M02]]</f>
        <v>0</v>
      </c>
      <c r="G156" t="str">
        <f>_xlfn.XLOOKUP(Summary38[[#This Row],[loan_id]],[1]!Loans[loan_id],[1]!Loans[loan_size_band])</f>
        <v>Large</v>
      </c>
    </row>
    <row r="157" spans="1:7" x14ac:dyDescent="0.25">
      <c r="A157" t="s">
        <v>161</v>
      </c>
      <c r="B157">
        <f>IF([1]!Repayment3[[#This Row],[payment_status]]="Full",0,IF([1]!Repayment3[[#This Row],[payment_status]]="Partial",0.5,1))</f>
        <v>0.5</v>
      </c>
      <c r="C157">
        <f>_xlfn.XLOOKUP(Summary38[[#This Row],[loan_id]],[1]!Loans[loan_id],[1]!Loans[structural_risk])</f>
        <v>0.8</v>
      </c>
      <c r="D157">
        <f>Summary38[[#This Row],[risk_weight]]+Summary38[[#This Row],[stuctural_risk]]</f>
        <v>1.3</v>
      </c>
      <c r="E157">
        <f>_xlfn.XLOOKUP(Summary38[[#This Row],[loan_id]],[1]!Risk2[loan_id],[1]!Risk2[total_risk])</f>
        <v>1.3</v>
      </c>
      <c r="F157" s="3">
        <f>Summary38[[#This Row],[total_risk_M03]]-Summary38[[#This Row],[total_risk_M02]]</f>
        <v>0</v>
      </c>
      <c r="G157" t="str">
        <f>_xlfn.XLOOKUP(Summary38[[#This Row],[loan_id]],[1]!Loans[loan_id],[1]!Loans[loan_size_band])</f>
        <v>Large</v>
      </c>
    </row>
    <row r="158" spans="1:7" x14ac:dyDescent="0.25">
      <c r="A158" t="s">
        <v>162</v>
      </c>
      <c r="B158">
        <f>IF([1]!Repayment3[[#This Row],[payment_status]]="Full",0,IF([1]!Repayment3[[#This Row],[payment_status]]="Partial",0.5,1))</f>
        <v>0.5</v>
      </c>
      <c r="C158">
        <f>_xlfn.XLOOKUP(Summary38[[#This Row],[loan_id]],[1]!Loans[loan_id],[1]!Loans[structural_risk])</f>
        <v>0.8</v>
      </c>
      <c r="D158">
        <f>Summary38[[#This Row],[risk_weight]]+Summary38[[#This Row],[stuctural_risk]]</f>
        <v>1.3</v>
      </c>
      <c r="E158">
        <f>_xlfn.XLOOKUP(Summary38[[#This Row],[loan_id]],[1]!Risk2[loan_id],[1]!Risk2[total_risk])</f>
        <v>1.3</v>
      </c>
      <c r="F158" s="3">
        <f>Summary38[[#This Row],[total_risk_M03]]-Summary38[[#This Row],[total_risk_M02]]</f>
        <v>0</v>
      </c>
      <c r="G158" t="str">
        <f>_xlfn.XLOOKUP(Summary38[[#This Row],[loan_id]],[1]!Loans[loan_id],[1]!Loans[loan_size_band])</f>
        <v>Large</v>
      </c>
    </row>
    <row r="159" spans="1:7" x14ac:dyDescent="0.25">
      <c r="A159" t="s">
        <v>163</v>
      </c>
      <c r="B159">
        <f>IF([1]!Repayment3[[#This Row],[payment_status]]="Full",0,IF([1]!Repayment3[[#This Row],[payment_status]]="Partial",0.5,1))</f>
        <v>0.5</v>
      </c>
      <c r="C159">
        <f>_xlfn.XLOOKUP(Summary38[[#This Row],[loan_id]],[1]!Loans[loan_id],[1]!Loans[structural_risk])</f>
        <v>0.8</v>
      </c>
      <c r="D159">
        <f>Summary38[[#This Row],[risk_weight]]+Summary38[[#This Row],[stuctural_risk]]</f>
        <v>1.3</v>
      </c>
      <c r="E159">
        <f>_xlfn.XLOOKUP(Summary38[[#This Row],[loan_id]],[1]!Risk2[loan_id],[1]!Risk2[total_risk])</f>
        <v>1.3</v>
      </c>
      <c r="F159" s="3">
        <f>Summary38[[#This Row],[total_risk_M03]]-Summary38[[#This Row],[total_risk_M02]]</f>
        <v>0</v>
      </c>
      <c r="G159" t="str">
        <f>_xlfn.XLOOKUP(Summary38[[#This Row],[loan_id]],[1]!Loans[loan_id],[1]!Loans[loan_size_band])</f>
        <v>Large</v>
      </c>
    </row>
    <row r="160" spans="1:7" x14ac:dyDescent="0.25">
      <c r="A160" t="s">
        <v>164</v>
      </c>
      <c r="B160">
        <f>IF([1]!Repayment3[[#This Row],[payment_status]]="Full",0,IF([1]!Repayment3[[#This Row],[payment_status]]="Partial",0.5,1))</f>
        <v>0.5</v>
      </c>
      <c r="C160">
        <f>_xlfn.XLOOKUP(Summary38[[#This Row],[loan_id]],[1]!Loans[loan_id],[1]!Loans[structural_risk])</f>
        <v>0.8</v>
      </c>
      <c r="D160">
        <f>Summary38[[#This Row],[risk_weight]]+Summary38[[#This Row],[stuctural_risk]]</f>
        <v>1.3</v>
      </c>
      <c r="E160">
        <f>_xlfn.XLOOKUP(Summary38[[#This Row],[loan_id]],[1]!Risk2[loan_id],[1]!Risk2[total_risk])</f>
        <v>1.3</v>
      </c>
      <c r="F160" s="3">
        <f>Summary38[[#This Row],[total_risk_M03]]-Summary38[[#This Row],[total_risk_M02]]</f>
        <v>0</v>
      </c>
      <c r="G160" t="str">
        <f>_xlfn.XLOOKUP(Summary38[[#This Row],[loan_id]],[1]!Loans[loan_id],[1]!Loans[loan_size_band])</f>
        <v>Large</v>
      </c>
    </row>
    <row r="161" spans="1:7" x14ac:dyDescent="0.25">
      <c r="A161" t="s">
        <v>165</v>
      </c>
      <c r="B161">
        <f>IF([1]!Repayment3[[#This Row],[payment_status]]="Full",0,IF([1]!Repayment3[[#This Row],[payment_status]]="Partial",0.5,1))</f>
        <v>0.5</v>
      </c>
      <c r="C161">
        <f>_xlfn.XLOOKUP(Summary38[[#This Row],[loan_id]],[1]!Loans[loan_id],[1]!Loans[structural_risk])</f>
        <v>0.8</v>
      </c>
      <c r="D161">
        <f>Summary38[[#This Row],[risk_weight]]+Summary38[[#This Row],[stuctural_risk]]</f>
        <v>1.3</v>
      </c>
      <c r="E161">
        <f>_xlfn.XLOOKUP(Summary38[[#This Row],[loan_id]],[1]!Risk2[loan_id],[1]!Risk2[total_risk])</f>
        <v>1.3</v>
      </c>
      <c r="F161" s="3">
        <f>Summary38[[#This Row],[total_risk_M03]]-Summary38[[#This Row],[total_risk_M02]]</f>
        <v>0</v>
      </c>
      <c r="G161" t="str">
        <f>_xlfn.XLOOKUP(Summary38[[#This Row],[loan_id]],[1]!Loans[loan_id],[1]!Loans[loan_size_band])</f>
        <v>Large</v>
      </c>
    </row>
    <row r="162" spans="1:7" x14ac:dyDescent="0.25">
      <c r="A162" t="s">
        <v>166</v>
      </c>
      <c r="B162">
        <f>IF([1]!Repayment3[[#This Row],[payment_status]]="Full",0,IF([1]!Repayment3[[#This Row],[payment_status]]="Partial",0.5,1))</f>
        <v>0.5</v>
      </c>
      <c r="C162">
        <f>_xlfn.XLOOKUP(Summary38[[#This Row],[loan_id]],[1]!Loans[loan_id],[1]!Loans[structural_risk])</f>
        <v>0.8</v>
      </c>
      <c r="D162">
        <f>Summary38[[#This Row],[risk_weight]]+Summary38[[#This Row],[stuctural_risk]]</f>
        <v>1.3</v>
      </c>
      <c r="E162">
        <f>_xlfn.XLOOKUP(Summary38[[#This Row],[loan_id]],[1]!Risk2[loan_id],[1]!Risk2[total_risk])</f>
        <v>1.3</v>
      </c>
      <c r="F162" s="3">
        <f>Summary38[[#This Row],[total_risk_M03]]-Summary38[[#This Row],[total_risk_M02]]</f>
        <v>0</v>
      </c>
      <c r="G162" t="str">
        <f>_xlfn.XLOOKUP(Summary38[[#This Row],[loan_id]],[1]!Loans[loan_id],[1]!Loans[loan_size_band])</f>
        <v>Large</v>
      </c>
    </row>
    <row r="163" spans="1:7" x14ac:dyDescent="0.25">
      <c r="A163" t="s">
        <v>167</v>
      </c>
      <c r="B163">
        <f>IF([1]!Repayment3[[#This Row],[payment_status]]="Full",0,IF([1]!Repayment3[[#This Row],[payment_status]]="Partial",0.5,1))</f>
        <v>0.5</v>
      </c>
      <c r="C163">
        <f>_xlfn.XLOOKUP(Summary38[[#This Row],[loan_id]],[1]!Loans[loan_id],[1]!Loans[structural_risk])</f>
        <v>0.8</v>
      </c>
      <c r="D163">
        <f>Summary38[[#This Row],[risk_weight]]+Summary38[[#This Row],[stuctural_risk]]</f>
        <v>1.3</v>
      </c>
      <c r="E163">
        <f>_xlfn.XLOOKUP(Summary38[[#This Row],[loan_id]],[1]!Risk2[loan_id],[1]!Risk2[total_risk])</f>
        <v>1.3</v>
      </c>
      <c r="F163" s="3">
        <f>Summary38[[#This Row],[total_risk_M03]]-Summary38[[#This Row],[total_risk_M02]]</f>
        <v>0</v>
      </c>
      <c r="G163" t="str">
        <f>_xlfn.XLOOKUP(Summary38[[#This Row],[loan_id]],[1]!Loans[loan_id],[1]!Loans[loan_size_band])</f>
        <v>Large</v>
      </c>
    </row>
    <row r="164" spans="1:7" x14ac:dyDescent="0.25">
      <c r="A164" t="s">
        <v>168</v>
      </c>
      <c r="B164">
        <f>IF([1]!Repayment3[[#This Row],[payment_status]]="Full",0,IF([1]!Repayment3[[#This Row],[payment_status]]="Partial",0.5,1))</f>
        <v>1</v>
      </c>
      <c r="C164">
        <f>_xlfn.XLOOKUP(Summary38[[#This Row],[loan_id]],[1]!Loans[loan_id],[1]!Loans[structural_risk])</f>
        <v>0.5</v>
      </c>
      <c r="D164">
        <f>Summary38[[#This Row],[risk_weight]]+Summary38[[#This Row],[stuctural_risk]]</f>
        <v>1.5</v>
      </c>
      <c r="E164">
        <f>_xlfn.XLOOKUP(Summary38[[#This Row],[loan_id]],[1]!Risk2[loan_id],[1]!Risk2[total_risk])</f>
        <v>1.5</v>
      </c>
      <c r="F164" s="3">
        <f>Summary38[[#This Row],[total_risk_M03]]-Summary38[[#This Row],[total_risk_M02]]</f>
        <v>0</v>
      </c>
      <c r="G164" t="str">
        <f>_xlfn.XLOOKUP(Summary38[[#This Row],[loan_id]],[1]!Loans[loan_id],[1]!Loans[loan_size_band])</f>
        <v>Medium</v>
      </c>
    </row>
    <row r="165" spans="1:7" x14ac:dyDescent="0.25">
      <c r="A165" t="s">
        <v>169</v>
      </c>
      <c r="B165">
        <f>IF([1]!Repayment3[[#This Row],[payment_status]]="Full",0,IF([1]!Repayment3[[#This Row],[payment_status]]="Partial",0.5,1))</f>
        <v>1</v>
      </c>
      <c r="C165">
        <f>_xlfn.XLOOKUP(Summary38[[#This Row],[loan_id]],[1]!Loans[loan_id],[1]!Loans[structural_risk])</f>
        <v>0.5</v>
      </c>
      <c r="D165">
        <f>Summary38[[#This Row],[risk_weight]]+Summary38[[#This Row],[stuctural_risk]]</f>
        <v>1.5</v>
      </c>
      <c r="E165">
        <f>_xlfn.XLOOKUP(Summary38[[#This Row],[loan_id]],[1]!Risk2[loan_id],[1]!Risk2[total_risk])</f>
        <v>1.5</v>
      </c>
      <c r="F165" s="3">
        <f>Summary38[[#This Row],[total_risk_M03]]-Summary38[[#This Row],[total_risk_M02]]</f>
        <v>0</v>
      </c>
      <c r="G165" t="str">
        <f>_xlfn.XLOOKUP(Summary38[[#This Row],[loan_id]],[1]!Loans[loan_id],[1]!Loans[loan_size_band])</f>
        <v>Medium</v>
      </c>
    </row>
    <row r="166" spans="1:7" x14ac:dyDescent="0.25">
      <c r="A166" t="s">
        <v>170</v>
      </c>
      <c r="B166">
        <f>IF([1]!Repayment3[[#This Row],[payment_status]]="Full",0,IF([1]!Repayment3[[#This Row],[payment_status]]="Partial",0.5,1))</f>
        <v>1</v>
      </c>
      <c r="C166">
        <f>_xlfn.XLOOKUP(Summary38[[#This Row],[loan_id]],[1]!Loans[loan_id],[1]!Loans[structural_risk])</f>
        <v>0.8</v>
      </c>
      <c r="D166">
        <f>Summary38[[#This Row],[risk_weight]]+Summary38[[#This Row],[stuctural_risk]]</f>
        <v>1.8</v>
      </c>
      <c r="E166">
        <f>_xlfn.XLOOKUP(Summary38[[#This Row],[loan_id]],[1]!Risk2[loan_id],[1]!Risk2[total_risk])</f>
        <v>1.8</v>
      </c>
      <c r="F166" s="3">
        <f>Summary38[[#This Row],[total_risk_M03]]-Summary38[[#This Row],[total_risk_M02]]</f>
        <v>0</v>
      </c>
      <c r="G166" t="str">
        <f>_xlfn.XLOOKUP(Summary38[[#This Row],[loan_id]],[1]!Loans[loan_id],[1]!Loans[loan_size_band])</f>
        <v>Large</v>
      </c>
    </row>
    <row r="167" spans="1:7" x14ac:dyDescent="0.25">
      <c r="A167" t="s">
        <v>171</v>
      </c>
      <c r="B167">
        <f>IF([1]!Repayment3[[#This Row],[payment_status]]="Full",0,IF([1]!Repayment3[[#This Row],[payment_status]]="Partial",0.5,1))</f>
        <v>1</v>
      </c>
      <c r="C167">
        <f>_xlfn.XLOOKUP(Summary38[[#This Row],[loan_id]],[1]!Loans[loan_id],[1]!Loans[structural_risk])</f>
        <v>0.8</v>
      </c>
      <c r="D167">
        <f>Summary38[[#This Row],[risk_weight]]+Summary38[[#This Row],[stuctural_risk]]</f>
        <v>1.8</v>
      </c>
      <c r="E167">
        <f>_xlfn.XLOOKUP(Summary38[[#This Row],[loan_id]],[1]!Risk2[loan_id],[1]!Risk2[total_risk])</f>
        <v>1.8</v>
      </c>
      <c r="F167" s="3">
        <f>Summary38[[#This Row],[total_risk_M03]]-Summary38[[#This Row],[total_risk_M02]]</f>
        <v>0</v>
      </c>
      <c r="G167" t="str">
        <f>_xlfn.XLOOKUP(Summary38[[#This Row],[loan_id]],[1]!Loans[loan_id],[1]!Loans[loan_size_band])</f>
        <v>Large</v>
      </c>
    </row>
    <row r="168" spans="1:7" x14ac:dyDescent="0.25">
      <c r="A168" t="s">
        <v>172</v>
      </c>
      <c r="B168">
        <f>IF([1]!Repayment3[[#This Row],[payment_status]]="Full",0,IF([1]!Repayment3[[#This Row],[payment_status]]="Partial",0.5,1))</f>
        <v>1</v>
      </c>
      <c r="C168">
        <f>_xlfn.XLOOKUP(Summary38[[#This Row],[loan_id]],[1]!Loans[loan_id],[1]!Loans[structural_risk])</f>
        <v>0.8</v>
      </c>
      <c r="D168">
        <f>Summary38[[#This Row],[risk_weight]]+Summary38[[#This Row],[stuctural_risk]]</f>
        <v>1.8</v>
      </c>
      <c r="E168">
        <f>_xlfn.XLOOKUP(Summary38[[#This Row],[loan_id]],[1]!Risk2[loan_id],[1]!Risk2[total_risk])</f>
        <v>1.8</v>
      </c>
      <c r="F168" s="3">
        <f>Summary38[[#This Row],[total_risk_M03]]-Summary38[[#This Row],[total_risk_M02]]</f>
        <v>0</v>
      </c>
      <c r="G168" t="str">
        <f>_xlfn.XLOOKUP(Summary38[[#This Row],[loan_id]],[1]!Loans[loan_id],[1]!Loans[loan_size_band])</f>
        <v>Large</v>
      </c>
    </row>
    <row r="169" spans="1:7" x14ac:dyDescent="0.25">
      <c r="A169" t="s">
        <v>173</v>
      </c>
      <c r="B169">
        <f>IF([1]!Repayment3[[#This Row],[payment_status]]="Full",0,IF([1]!Repayment3[[#This Row],[payment_status]]="Partial",0.5,1))</f>
        <v>1</v>
      </c>
      <c r="C169">
        <f>_xlfn.XLOOKUP(Summary38[[#This Row],[loan_id]],[1]!Loans[loan_id],[1]!Loans[structural_risk])</f>
        <v>0.8</v>
      </c>
      <c r="D169">
        <f>Summary38[[#This Row],[risk_weight]]+Summary38[[#This Row],[stuctural_risk]]</f>
        <v>1.8</v>
      </c>
      <c r="E169">
        <f>_xlfn.XLOOKUP(Summary38[[#This Row],[loan_id]],[1]!Risk2[loan_id],[1]!Risk2[total_risk])</f>
        <v>1.8</v>
      </c>
      <c r="F169" s="3">
        <f>Summary38[[#This Row],[total_risk_M03]]-Summary38[[#This Row],[total_risk_M02]]</f>
        <v>0</v>
      </c>
      <c r="G169" t="str">
        <f>_xlfn.XLOOKUP(Summary38[[#This Row],[loan_id]],[1]!Loans[loan_id],[1]!Loans[loan_size_band])</f>
        <v>Large</v>
      </c>
    </row>
    <row r="170" spans="1:7" x14ac:dyDescent="0.25">
      <c r="A170" t="s">
        <v>174</v>
      </c>
      <c r="B170">
        <f>IF([1]!Repayment3[[#This Row],[payment_status]]="Full",0,IF([1]!Repayment3[[#This Row],[payment_status]]="Partial",0.5,1))</f>
        <v>1</v>
      </c>
      <c r="C170">
        <f>_xlfn.XLOOKUP(Summary38[[#This Row],[loan_id]],[1]!Loans[loan_id],[1]!Loans[structural_risk])</f>
        <v>0.8</v>
      </c>
      <c r="D170">
        <f>Summary38[[#This Row],[risk_weight]]+Summary38[[#This Row],[stuctural_risk]]</f>
        <v>1.8</v>
      </c>
      <c r="E170">
        <f>_xlfn.XLOOKUP(Summary38[[#This Row],[loan_id]],[1]!Risk2[loan_id],[1]!Risk2[total_risk])</f>
        <v>1.8</v>
      </c>
      <c r="F170" s="3">
        <f>Summary38[[#This Row],[total_risk_M03]]-Summary38[[#This Row],[total_risk_M02]]</f>
        <v>0</v>
      </c>
      <c r="G170" t="str">
        <f>_xlfn.XLOOKUP(Summary38[[#This Row],[loan_id]],[1]!Loans[loan_id],[1]!Loans[loan_size_band])</f>
        <v>Large</v>
      </c>
    </row>
    <row r="171" spans="1:7" x14ac:dyDescent="0.25">
      <c r="A171" t="s">
        <v>175</v>
      </c>
      <c r="B171">
        <f>IF([1]!Repayment3[[#This Row],[payment_status]]="Full",0,IF([1]!Repayment3[[#This Row],[payment_status]]="Partial",0.5,1))</f>
        <v>1</v>
      </c>
      <c r="C171">
        <f>_xlfn.XLOOKUP(Summary38[[#This Row],[loan_id]],[1]!Loans[loan_id],[1]!Loans[structural_risk])</f>
        <v>0.8</v>
      </c>
      <c r="D171">
        <f>Summary38[[#This Row],[risk_weight]]+Summary38[[#This Row],[stuctural_risk]]</f>
        <v>1.8</v>
      </c>
      <c r="E171">
        <f>_xlfn.XLOOKUP(Summary38[[#This Row],[loan_id]],[1]!Risk2[loan_id],[1]!Risk2[total_risk])</f>
        <v>1.8</v>
      </c>
      <c r="F171" s="3">
        <f>Summary38[[#This Row],[total_risk_M03]]-Summary38[[#This Row],[total_risk_M02]]</f>
        <v>0</v>
      </c>
      <c r="G171" t="str">
        <f>_xlfn.XLOOKUP(Summary38[[#This Row],[loan_id]],[1]!Loans[loan_id],[1]!Loans[loan_size_band])</f>
        <v>Large</v>
      </c>
    </row>
    <row r="172" spans="1:7" x14ac:dyDescent="0.25">
      <c r="A172" t="s">
        <v>176</v>
      </c>
      <c r="B172">
        <f>IF([1]!Repayment3[[#This Row],[payment_status]]="Full",0,IF([1]!Repayment3[[#This Row],[payment_status]]="Partial",0.5,1))</f>
        <v>1</v>
      </c>
      <c r="C172">
        <f>_xlfn.XLOOKUP(Summary38[[#This Row],[loan_id]],[1]!Loans[loan_id],[1]!Loans[structural_risk])</f>
        <v>0.8</v>
      </c>
      <c r="D172">
        <f>Summary38[[#This Row],[risk_weight]]+Summary38[[#This Row],[stuctural_risk]]</f>
        <v>1.8</v>
      </c>
      <c r="E172">
        <f>_xlfn.XLOOKUP(Summary38[[#This Row],[loan_id]],[1]!Risk2[loan_id],[1]!Risk2[total_risk])</f>
        <v>1.8</v>
      </c>
      <c r="F172" s="3">
        <f>Summary38[[#This Row],[total_risk_M03]]-Summary38[[#This Row],[total_risk_M02]]</f>
        <v>0</v>
      </c>
      <c r="G172" t="str">
        <f>_xlfn.XLOOKUP(Summary38[[#This Row],[loan_id]],[1]!Loans[loan_id],[1]!Loans[loan_size_band])</f>
        <v>Large</v>
      </c>
    </row>
    <row r="173" spans="1:7" x14ac:dyDescent="0.25">
      <c r="A173" t="s">
        <v>177</v>
      </c>
      <c r="B173">
        <f>IF([1]!Repayment3[[#This Row],[payment_status]]="Full",0,IF([1]!Repayment3[[#This Row],[payment_status]]="Partial",0.5,1))</f>
        <v>1</v>
      </c>
      <c r="C173">
        <f>_xlfn.XLOOKUP(Summary38[[#This Row],[loan_id]],[1]!Loans[loan_id],[1]!Loans[structural_risk])</f>
        <v>0.8</v>
      </c>
      <c r="D173">
        <f>Summary38[[#This Row],[risk_weight]]+Summary38[[#This Row],[stuctural_risk]]</f>
        <v>1.8</v>
      </c>
      <c r="E173">
        <f>_xlfn.XLOOKUP(Summary38[[#This Row],[loan_id]],[1]!Risk2[loan_id],[1]!Risk2[total_risk])</f>
        <v>1.8</v>
      </c>
      <c r="F173" s="3">
        <f>Summary38[[#This Row],[total_risk_M03]]-Summary38[[#This Row],[total_risk_M02]]</f>
        <v>0</v>
      </c>
      <c r="G173" t="str">
        <f>_xlfn.XLOOKUP(Summary38[[#This Row],[loan_id]],[1]!Loans[loan_id],[1]!Loans[loan_size_band])</f>
        <v>Large</v>
      </c>
    </row>
    <row r="174" spans="1:7" x14ac:dyDescent="0.25">
      <c r="A174" t="s">
        <v>178</v>
      </c>
      <c r="B174">
        <f>IF([1]!Repayment3[[#This Row],[payment_status]]="Full",0,IF([1]!Repayment3[[#This Row],[payment_status]]="Partial",0.5,1))</f>
        <v>1</v>
      </c>
      <c r="C174">
        <f>_xlfn.XLOOKUP(Summary38[[#This Row],[loan_id]],[1]!Loans[loan_id],[1]!Loans[structural_risk])</f>
        <v>0.8</v>
      </c>
      <c r="D174">
        <f>Summary38[[#This Row],[risk_weight]]+Summary38[[#This Row],[stuctural_risk]]</f>
        <v>1.8</v>
      </c>
      <c r="E174">
        <f>_xlfn.XLOOKUP(Summary38[[#This Row],[loan_id]],[1]!Risk2[loan_id],[1]!Risk2[total_risk])</f>
        <v>1.8</v>
      </c>
      <c r="F174" s="3">
        <f>Summary38[[#This Row],[total_risk_M03]]-Summary38[[#This Row],[total_risk_M02]]</f>
        <v>0</v>
      </c>
      <c r="G174" t="str">
        <f>_xlfn.XLOOKUP(Summary38[[#This Row],[loan_id]],[1]!Loans[loan_id],[1]!Loans[loan_size_band])</f>
        <v>Large</v>
      </c>
    </row>
    <row r="175" spans="1:7" x14ac:dyDescent="0.25">
      <c r="A175" t="s">
        <v>179</v>
      </c>
      <c r="B175">
        <f>IF([1]!Repayment3[[#This Row],[payment_status]]="Full",0,IF([1]!Repayment3[[#This Row],[payment_status]]="Partial",0.5,1))</f>
        <v>1</v>
      </c>
      <c r="C175">
        <f>_xlfn.XLOOKUP(Summary38[[#This Row],[loan_id]],[1]!Loans[loan_id],[1]!Loans[structural_risk])</f>
        <v>0.8</v>
      </c>
      <c r="D175">
        <f>Summary38[[#This Row],[risk_weight]]+Summary38[[#This Row],[stuctural_risk]]</f>
        <v>1.8</v>
      </c>
      <c r="E175">
        <f>_xlfn.XLOOKUP(Summary38[[#This Row],[loan_id]],[1]!Risk2[loan_id],[1]!Risk2[total_risk])</f>
        <v>1.8</v>
      </c>
      <c r="F175" s="3">
        <f>Summary38[[#This Row],[total_risk_M03]]-Summary38[[#This Row],[total_risk_M02]]</f>
        <v>0</v>
      </c>
      <c r="G175" t="str">
        <f>_xlfn.XLOOKUP(Summary38[[#This Row],[loan_id]],[1]!Loans[loan_id],[1]!Loans[loan_size_band])</f>
        <v>Large</v>
      </c>
    </row>
    <row r="176" spans="1:7" x14ac:dyDescent="0.25">
      <c r="A176" t="s">
        <v>180</v>
      </c>
      <c r="B176">
        <f>IF([1]!Repayment3[[#This Row],[payment_status]]="Full",0,IF([1]!Repayment3[[#This Row],[payment_status]]="Partial",0.5,1))</f>
        <v>1</v>
      </c>
      <c r="C176">
        <f>_xlfn.XLOOKUP(Summary38[[#This Row],[loan_id]],[1]!Loans[loan_id],[1]!Loans[structural_risk])</f>
        <v>0.8</v>
      </c>
      <c r="D176">
        <f>Summary38[[#This Row],[risk_weight]]+Summary38[[#This Row],[stuctural_risk]]</f>
        <v>1.8</v>
      </c>
      <c r="E176">
        <f>_xlfn.XLOOKUP(Summary38[[#This Row],[loan_id]],[1]!Risk2[loan_id],[1]!Risk2[total_risk])</f>
        <v>1.8</v>
      </c>
      <c r="F176" s="3">
        <f>Summary38[[#This Row],[total_risk_M03]]-Summary38[[#This Row],[total_risk_M02]]</f>
        <v>0</v>
      </c>
      <c r="G176" t="str">
        <f>_xlfn.XLOOKUP(Summary38[[#This Row],[loan_id]],[1]!Loans[loan_id],[1]!Loans[loan_size_band])</f>
        <v>Large</v>
      </c>
    </row>
    <row r="177" spans="1:7" x14ac:dyDescent="0.25">
      <c r="A177" t="s">
        <v>181</v>
      </c>
      <c r="B177">
        <f>IF([1]!Repayment3[[#This Row],[payment_status]]="Full",0,IF([1]!Repayment3[[#This Row],[payment_status]]="Partial",0.5,1))</f>
        <v>1</v>
      </c>
      <c r="C177">
        <f>_xlfn.XLOOKUP(Summary38[[#This Row],[loan_id]],[1]!Loans[loan_id],[1]!Loans[structural_risk])</f>
        <v>0.8</v>
      </c>
      <c r="D177">
        <f>Summary38[[#This Row],[risk_weight]]+Summary38[[#This Row],[stuctural_risk]]</f>
        <v>1.8</v>
      </c>
      <c r="E177">
        <f>_xlfn.XLOOKUP(Summary38[[#This Row],[loan_id]],[1]!Risk2[loan_id],[1]!Risk2[total_risk])</f>
        <v>1.8</v>
      </c>
      <c r="F177" s="3">
        <f>Summary38[[#This Row],[total_risk_M03]]-Summary38[[#This Row],[total_risk_M02]]</f>
        <v>0</v>
      </c>
      <c r="G177" t="str">
        <f>_xlfn.XLOOKUP(Summary38[[#This Row],[loan_id]],[1]!Loans[loan_id],[1]!Loans[loan_size_band])</f>
        <v>Large</v>
      </c>
    </row>
    <row r="178" spans="1:7" x14ac:dyDescent="0.25">
      <c r="A178" t="s">
        <v>182</v>
      </c>
      <c r="B178">
        <f>IF([1]!Repayment3[[#This Row],[payment_status]]="Full",0,IF([1]!Repayment3[[#This Row],[payment_status]]="Partial",0.5,1))</f>
        <v>1</v>
      </c>
      <c r="C178">
        <f>_xlfn.XLOOKUP(Summary38[[#This Row],[loan_id]],[1]!Loans[loan_id],[1]!Loans[structural_risk])</f>
        <v>0.8</v>
      </c>
      <c r="D178">
        <f>Summary38[[#This Row],[risk_weight]]+Summary38[[#This Row],[stuctural_risk]]</f>
        <v>1.8</v>
      </c>
      <c r="E178">
        <f>_xlfn.XLOOKUP(Summary38[[#This Row],[loan_id]],[1]!Risk2[loan_id],[1]!Risk2[total_risk])</f>
        <v>1.8</v>
      </c>
      <c r="F178" s="3">
        <f>Summary38[[#This Row],[total_risk_M03]]-Summary38[[#This Row],[total_risk_M02]]</f>
        <v>0</v>
      </c>
      <c r="G178" t="str">
        <f>_xlfn.XLOOKUP(Summary38[[#This Row],[loan_id]],[1]!Loans[loan_id],[1]!Loans[loan_size_band])</f>
        <v>Large</v>
      </c>
    </row>
    <row r="179" spans="1:7" x14ac:dyDescent="0.25">
      <c r="A179" t="s">
        <v>183</v>
      </c>
      <c r="B179">
        <f>IF([1]!Repayment3[[#This Row],[payment_status]]="Full",0,IF([1]!Repayment3[[#This Row],[payment_status]]="Partial",0.5,1))</f>
        <v>1</v>
      </c>
      <c r="C179">
        <f>_xlfn.XLOOKUP(Summary38[[#This Row],[loan_id]],[1]!Loans[loan_id],[1]!Loans[structural_risk])</f>
        <v>0.8</v>
      </c>
      <c r="D179">
        <f>Summary38[[#This Row],[risk_weight]]+Summary38[[#This Row],[stuctural_risk]]</f>
        <v>1.8</v>
      </c>
      <c r="E179">
        <f>_xlfn.XLOOKUP(Summary38[[#This Row],[loan_id]],[1]!Risk2[loan_id],[1]!Risk2[total_risk])</f>
        <v>1.8</v>
      </c>
      <c r="F179" s="3">
        <f>Summary38[[#This Row],[total_risk_M03]]-Summary38[[#This Row],[total_risk_M02]]</f>
        <v>0</v>
      </c>
      <c r="G179" t="str">
        <f>_xlfn.XLOOKUP(Summary38[[#This Row],[loan_id]],[1]!Loans[loan_id],[1]!Loans[loan_size_band])</f>
        <v>Large</v>
      </c>
    </row>
    <row r="180" spans="1:7" x14ac:dyDescent="0.25">
      <c r="A180" t="s">
        <v>184</v>
      </c>
      <c r="B180">
        <f>IF([1]!Repayment3[[#This Row],[payment_status]]="Full",0,IF([1]!Repayment3[[#This Row],[payment_status]]="Partial",0.5,1))</f>
        <v>1</v>
      </c>
      <c r="C180">
        <f>_xlfn.XLOOKUP(Summary38[[#This Row],[loan_id]],[1]!Loans[loan_id],[1]!Loans[structural_risk])</f>
        <v>0.8</v>
      </c>
      <c r="D180">
        <f>Summary38[[#This Row],[risk_weight]]+Summary38[[#This Row],[stuctural_risk]]</f>
        <v>1.8</v>
      </c>
      <c r="E180">
        <f>_xlfn.XLOOKUP(Summary38[[#This Row],[loan_id]],[1]!Risk2[loan_id],[1]!Risk2[total_risk])</f>
        <v>1.8</v>
      </c>
      <c r="F180" s="3">
        <f>Summary38[[#This Row],[total_risk_M03]]-Summary38[[#This Row],[total_risk_M02]]</f>
        <v>0</v>
      </c>
      <c r="G180" t="str">
        <f>_xlfn.XLOOKUP(Summary38[[#This Row],[loan_id]],[1]!Loans[loan_id],[1]!Loans[loan_size_band])</f>
        <v>Large</v>
      </c>
    </row>
    <row r="181" spans="1:7" x14ac:dyDescent="0.25">
      <c r="A181" t="s">
        <v>185</v>
      </c>
      <c r="B181">
        <f>IF([1]!Repayment3[[#This Row],[payment_status]]="Full",0,IF([1]!Repayment3[[#This Row],[payment_status]]="Partial",0.5,1))</f>
        <v>1</v>
      </c>
      <c r="C181">
        <f>_xlfn.XLOOKUP(Summary38[[#This Row],[loan_id]],[1]!Loans[loan_id],[1]!Loans[structural_risk])</f>
        <v>0.8</v>
      </c>
      <c r="D181">
        <f>Summary38[[#This Row],[risk_weight]]+Summary38[[#This Row],[stuctural_risk]]</f>
        <v>1.8</v>
      </c>
      <c r="E181">
        <f>_xlfn.XLOOKUP(Summary38[[#This Row],[loan_id]],[1]!Risk2[loan_id],[1]!Risk2[total_risk])</f>
        <v>1.8</v>
      </c>
      <c r="F181" s="3">
        <f>Summary38[[#This Row],[total_risk_M03]]-Summary38[[#This Row],[total_risk_M02]]</f>
        <v>0</v>
      </c>
      <c r="G181" t="str">
        <f>_xlfn.XLOOKUP(Summary38[[#This Row],[loan_id]],[1]!Loans[loan_id],[1]!Loans[loan_size_band])</f>
        <v>Large</v>
      </c>
    </row>
    <row r="182" spans="1:7" x14ac:dyDescent="0.25">
      <c r="A182" t="s">
        <v>186</v>
      </c>
      <c r="B182">
        <f>IF([1]!Repayment3[[#This Row],[payment_status]]="Full",0,IF([1]!Repayment3[[#This Row],[payment_status]]="Partial",0.5,1))</f>
        <v>1</v>
      </c>
      <c r="C182">
        <f>_xlfn.XLOOKUP(Summary38[[#This Row],[loan_id]],[1]!Loans[loan_id],[1]!Loans[structural_risk])</f>
        <v>0.8</v>
      </c>
      <c r="D182">
        <f>Summary38[[#This Row],[risk_weight]]+Summary38[[#This Row],[stuctural_risk]]</f>
        <v>1.8</v>
      </c>
      <c r="E182">
        <f>_xlfn.XLOOKUP(Summary38[[#This Row],[loan_id]],[1]!Risk2[loan_id],[1]!Risk2[total_risk])</f>
        <v>1.3</v>
      </c>
      <c r="F182" s="3">
        <f>Summary38[[#This Row],[total_risk_M03]]-Summary38[[#This Row],[total_risk_M02]]</f>
        <v>0.5</v>
      </c>
      <c r="G182" t="str">
        <f>_xlfn.XLOOKUP(Summary38[[#This Row],[loan_id]],[1]!Loans[loan_id],[1]!Loans[loan_size_band])</f>
        <v>Large</v>
      </c>
    </row>
    <row r="183" spans="1:7" x14ac:dyDescent="0.25">
      <c r="A183" t="s">
        <v>187</v>
      </c>
      <c r="B183">
        <f>IF([1]!Repayment3[[#This Row],[payment_status]]="Full",0,IF([1]!Repayment3[[#This Row],[payment_status]]="Partial",0.5,1))</f>
        <v>1</v>
      </c>
      <c r="C183">
        <f>_xlfn.XLOOKUP(Summary38[[#This Row],[loan_id]],[1]!Loans[loan_id],[1]!Loans[structural_risk])</f>
        <v>0.8</v>
      </c>
      <c r="D183">
        <f>Summary38[[#This Row],[risk_weight]]+Summary38[[#This Row],[stuctural_risk]]</f>
        <v>1.8</v>
      </c>
      <c r="E183">
        <f>_xlfn.XLOOKUP(Summary38[[#This Row],[loan_id]],[1]!Risk2[loan_id],[1]!Risk2[total_risk])</f>
        <v>1.3</v>
      </c>
      <c r="F183" s="3">
        <f>Summary38[[#This Row],[total_risk_M03]]-Summary38[[#This Row],[total_risk_M02]]</f>
        <v>0.5</v>
      </c>
      <c r="G183" t="str">
        <f>_xlfn.XLOOKUP(Summary38[[#This Row],[loan_id]],[1]!Loans[loan_id],[1]!Loans[loan_size_band])</f>
        <v>Large</v>
      </c>
    </row>
    <row r="184" spans="1:7" x14ac:dyDescent="0.25">
      <c r="A184" t="s">
        <v>188</v>
      </c>
      <c r="B184">
        <f>IF([1]!Repayment3[[#This Row],[payment_status]]="Full",0,IF([1]!Repayment3[[#This Row],[payment_status]]="Partial",0.5,1))</f>
        <v>1</v>
      </c>
      <c r="C184">
        <f>_xlfn.XLOOKUP(Summary38[[#This Row],[loan_id]],[1]!Loans[loan_id],[1]!Loans[structural_risk])</f>
        <v>0.8</v>
      </c>
      <c r="D184">
        <f>Summary38[[#This Row],[risk_weight]]+Summary38[[#This Row],[stuctural_risk]]</f>
        <v>1.8</v>
      </c>
      <c r="E184">
        <f>_xlfn.XLOOKUP(Summary38[[#This Row],[loan_id]],[1]!Risk2[loan_id],[1]!Risk2[total_risk])</f>
        <v>1.3</v>
      </c>
      <c r="F184" s="3">
        <f>Summary38[[#This Row],[total_risk_M03]]-Summary38[[#This Row],[total_risk_M02]]</f>
        <v>0.5</v>
      </c>
      <c r="G184" t="str">
        <f>_xlfn.XLOOKUP(Summary38[[#This Row],[loan_id]],[1]!Loans[loan_id],[1]!Loans[loan_size_band])</f>
        <v>Large</v>
      </c>
    </row>
    <row r="185" spans="1:7" x14ac:dyDescent="0.25">
      <c r="A185" t="s">
        <v>189</v>
      </c>
      <c r="B185">
        <f>IF([1]!Repayment3[[#This Row],[payment_status]]="Full",0,IF([1]!Repayment3[[#This Row],[payment_status]]="Partial",0.5,1))</f>
        <v>1</v>
      </c>
      <c r="C185">
        <f>_xlfn.XLOOKUP(Summary38[[#This Row],[loan_id]],[1]!Loans[loan_id],[1]!Loans[structural_risk])</f>
        <v>0.8</v>
      </c>
      <c r="D185">
        <f>Summary38[[#This Row],[risk_weight]]+Summary38[[#This Row],[stuctural_risk]]</f>
        <v>1.8</v>
      </c>
      <c r="E185">
        <f>_xlfn.XLOOKUP(Summary38[[#This Row],[loan_id]],[1]!Risk2[loan_id],[1]!Risk2[total_risk])</f>
        <v>1.3</v>
      </c>
      <c r="F185" s="3">
        <f>Summary38[[#This Row],[total_risk_M03]]-Summary38[[#This Row],[total_risk_M02]]</f>
        <v>0.5</v>
      </c>
      <c r="G185" t="str">
        <f>_xlfn.XLOOKUP(Summary38[[#This Row],[loan_id]],[1]!Loans[loan_id],[1]!Loans[loan_size_band])</f>
        <v>Large</v>
      </c>
    </row>
    <row r="186" spans="1:7" x14ac:dyDescent="0.25">
      <c r="A186" t="s">
        <v>190</v>
      </c>
      <c r="B186">
        <f>IF([1]!Repayment3[[#This Row],[payment_status]]="Full",0,IF([1]!Repayment3[[#This Row],[payment_status]]="Partial",0.5,1))</f>
        <v>1</v>
      </c>
      <c r="C186">
        <f>_xlfn.XLOOKUP(Summary38[[#This Row],[loan_id]],[1]!Loans[loan_id],[1]!Loans[structural_risk])</f>
        <v>0.8</v>
      </c>
      <c r="D186">
        <f>Summary38[[#This Row],[risk_weight]]+Summary38[[#This Row],[stuctural_risk]]</f>
        <v>1.8</v>
      </c>
      <c r="E186">
        <f>_xlfn.XLOOKUP(Summary38[[#This Row],[loan_id]],[1]!Risk2[loan_id],[1]!Risk2[total_risk])</f>
        <v>1.3</v>
      </c>
      <c r="F186" s="3">
        <f>Summary38[[#This Row],[total_risk_M03]]-Summary38[[#This Row],[total_risk_M02]]</f>
        <v>0.5</v>
      </c>
      <c r="G186" t="str">
        <f>_xlfn.XLOOKUP(Summary38[[#This Row],[loan_id]],[1]!Loans[loan_id],[1]!Loans[loan_size_band])</f>
        <v>Large</v>
      </c>
    </row>
    <row r="187" spans="1:7" x14ac:dyDescent="0.25">
      <c r="A187" t="s">
        <v>191</v>
      </c>
      <c r="B187">
        <f>IF([1]!Repayment3[[#This Row],[payment_status]]="Full",0,IF([1]!Repayment3[[#This Row],[payment_status]]="Partial",0.5,1))</f>
        <v>1</v>
      </c>
      <c r="C187">
        <f>_xlfn.XLOOKUP(Summary38[[#This Row],[loan_id]],[1]!Loans[loan_id],[1]!Loans[structural_risk])</f>
        <v>0.8</v>
      </c>
      <c r="D187">
        <f>Summary38[[#This Row],[risk_weight]]+Summary38[[#This Row],[stuctural_risk]]</f>
        <v>1.8</v>
      </c>
      <c r="E187">
        <f>_xlfn.XLOOKUP(Summary38[[#This Row],[loan_id]],[1]!Risk2[loan_id],[1]!Risk2[total_risk])</f>
        <v>1.3</v>
      </c>
      <c r="F187" s="3">
        <f>Summary38[[#This Row],[total_risk_M03]]-Summary38[[#This Row],[total_risk_M02]]</f>
        <v>0.5</v>
      </c>
      <c r="G187" t="str">
        <f>_xlfn.XLOOKUP(Summary38[[#This Row],[loan_id]],[1]!Loans[loan_id],[1]!Loans[loan_size_band])</f>
        <v>Large</v>
      </c>
    </row>
    <row r="188" spans="1:7" x14ac:dyDescent="0.25">
      <c r="A188" t="s">
        <v>192</v>
      </c>
      <c r="B188">
        <f>IF([1]!Repayment3[[#This Row],[payment_status]]="Full",0,IF([1]!Repayment3[[#This Row],[payment_status]]="Partial",0.5,1))</f>
        <v>1</v>
      </c>
      <c r="C188">
        <f>_xlfn.XLOOKUP(Summary38[[#This Row],[loan_id]],[1]!Loans[loan_id],[1]!Loans[structural_risk])</f>
        <v>0.8</v>
      </c>
      <c r="D188">
        <f>Summary38[[#This Row],[risk_weight]]+Summary38[[#This Row],[stuctural_risk]]</f>
        <v>1.8</v>
      </c>
      <c r="E188">
        <f>_xlfn.XLOOKUP(Summary38[[#This Row],[loan_id]],[1]!Risk2[loan_id],[1]!Risk2[total_risk])</f>
        <v>1.3</v>
      </c>
      <c r="F188" s="3">
        <f>Summary38[[#This Row],[total_risk_M03]]-Summary38[[#This Row],[total_risk_M02]]</f>
        <v>0.5</v>
      </c>
      <c r="G188" t="str">
        <f>_xlfn.XLOOKUP(Summary38[[#This Row],[loan_id]],[1]!Loans[loan_id],[1]!Loans[loan_size_band])</f>
        <v>Large</v>
      </c>
    </row>
    <row r="189" spans="1:7" x14ac:dyDescent="0.25">
      <c r="A189" t="s">
        <v>193</v>
      </c>
      <c r="B189">
        <f>IF([1]!Repayment3[[#This Row],[payment_status]]="Full",0,IF([1]!Repayment3[[#This Row],[payment_status]]="Partial",0.5,1))</f>
        <v>1</v>
      </c>
      <c r="C189">
        <f>_xlfn.XLOOKUP(Summary38[[#This Row],[loan_id]],[1]!Loans[loan_id],[1]!Loans[structural_risk])</f>
        <v>0.8</v>
      </c>
      <c r="D189">
        <f>Summary38[[#This Row],[risk_weight]]+Summary38[[#This Row],[stuctural_risk]]</f>
        <v>1.8</v>
      </c>
      <c r="E189">
        <f>_xlfn.XLOOKUP(Summary38[[#This Row],[loan_id]],[1]!Risk2[loan_id],[1]!Risk2[total_risk])</f>
        <v>1.3</v>
      </c>
      <c r="F189" s="3">
        <f>Summary38[[#This Row],[total_risk_M03]]-Summary38[[#This Row],[total_risk_M02]]</f>
        <v>0.5</v>
      </c>
      <c r="G189" t="str">
        <f>_xlfn.XLOOKUP(Summary38[[#This Row],[loan_id]],[1]!Loans[loan_id],[1]!Loans[loan_size_band])</f>
        <v>Large</v>
      </c>
    </row>
    <row r="190" spans="1:7" x14ac:dyDescent="0.25">
      <c r="A190" t="s">
        <v>194</v>
      </c>
      <c r="B190">
        <f>IF([1]!Repayment3[[#This Row],[payment_status]]="Full",0,IF([1]!Repayment3[[#This Row],[payment_status]]="Partial",0.5,1))</f>
        <v>1</v>
      </c>
      <c r="C190">
        <f>_xlfn.XLOOKUP(Summary38[[#This Row],[loan_id]],[1]!Loans[loan_id],[1]!Loans[structural_risk])</f>
        <v>0.8</v>
      </c>
      <c r="D190">
        <f>Summary38[[#This Row],[risk_weight]]+Summary38[[#This Row],[stuctural_risk]]</f>
        <v>1.8</v>
      </c>
      <c r="E190">
        <f>_xlfn.XLOOKUP(Summary38[[#This Row],[loan_id]],[1]!Risk2[loan_id],[1]!Risk2[total_risk])</f>
        <v>1.3</v>
      </c>
      <c r="F190" s="3">
        <f>Summary38[[#This Row],[total_risk_M03]]-Summary38[[#This Row],[total_risk_M02]]</f>
        <v>0.5</v>
      </c>
      <c r="G190" t="str">
        <f>_xlfn.XLOOKUP(Summary38[[#This Row],[loan_id]],[1]!Loans[loan_id],[1]!Loans[loan_size_band])</f>
        <v>Large</v>
      </c>
    </row>
    <row r="191" spans="1:7" x14ac:dyDescent="0.25">
      <c r="A191" t="s">
        <v>195</v>
      </c>
      <c r="B191">
        <f>IF([1]!Repayment3[[#This Row],[payment_status]]="Full",0,IF([1]!Repayment3[[#This Row],[payment_status]]="Partial",0.5,1))</f>
        <v>1</v>
      </c>
      <c r="C191">
        <f>_xlfn.XLOOKUP(Summary38[[#This Row],[loan_id]],[1]!Loans[loan_id],[1]!Loans[structural_risk])</f>
        <v>0.8</v>
      </c>
      <c r="D191">
        <f>Summary38[[#This Row],[risk_weight]]+Summary38[[#This Row],[stuctural_risk]]</f>
        <v>1.8</v>
      </c>
      <c r="E191">
        <f>_xlfn.XLOOKUP(Summary38[[#This Row],[loan_id]],[1]!Risk2[loan_id],[1]!Risk2[total_risk])</f>
        <v>1.3</v>
      </c>
      <c r="F191" s="3">
        <f>Summary38[[#This Row],[total_risk_M03]]-Summary38[[#This Row],[total_risk_M02]]</f>
        <v>0.5</v>
      </c>
      <c r="G191" t="str">
        <f>_xlfn.XLOOKUP(Summary38[[#This Row],[loan_id]],[1]!Loans[loan_id],[1]!Loans[loan_size_band])</f>
        <v>Large</v>
      </c>
    </row>
    <row r="192" spans="1:7" x14ac:dyDescent="0.25">
      <c r="A192" t="s">
        <v>196</v>
      </c>
      <c r="B192">
        <f>IF([1]!Repayment3[[#This Row],[payment_status]]="Full",0,IF([1]!Repayment3[[#This Row],[payment_status]]="Partial",0.5,1))</f>
        <v>1</v>
      </c>
      <c r="C192">
        <f>_xlfn.XLOOKUP(Summary38[[#This Row],[loan_id]],[1]!Loans[loan_id],[1]!Loans[structural_risk])</f>
        <v>0.8</v>
      </c>
      <c r="D192">
        <f>Summary38[[#This Row],[risk_weight]]+Summary38[[#This Row],[stuctural_risk]]</f>
        <v>1.8</v>
      </c>
      <c r="E192">
        <f>_xlfn.XLOOKUP(Summary38[[#This Row],[loan_id]],[1]!Risk2[loan_id],[1]!Risk2[total_risk])</f>
        <v>1.3</v>
      </c>
      <c r="F192" s="3">
        <f>Summary38[[#This Row],[total_risk_M03]]-Summary38[[#This Row],[total_risk_M02]]</f>
        <v>0.5</v>
      </c>
      <c r="G192" t="str">
        <f>_xlfn.XLOOKUP(Summary38[[#This Row],[loan_id]],[1]!Loans[loan_id],[1]!Loans[loan_size_band])</f>
        <v>Large</v>
      </c>
    </row>
    <row r="193" spans="1:7" x14ac:dyDescent="0.25">
      <c r="A193" t="s">
        <v>197</v>
      </c>
      <c r="B193">
        <f>IF([1]!Repayment3[[#This Row],[payment_status]]="Full",0,IF([1]!Repayment3[[#This Row],[payment_status]]="Partial",0.5,1))</f>
        <v>1</v>
      </c>
      <c r="C193">
        <f>_xlfn.XLOOKUP(Summary38[[#This Row],[loan_id]],[1]!Loans[loan_id],[1]!Loans[structural_risk])</f>
        <v>0.8</v>
      </c>
      <c r="D193">
        <f>Summary38[[#This Row],[risk_weight]]+Summary38[[#This Row],[stuctural_risk]]</f>
        <v>1.8</v>
      </c>
      <c r="E193">
        <f>_xlfn.XLOOKUP(Summary38[[#This Row],[loan_id]],[1]!Risk2[loan_id],[1]!Risk2[total_risk])</f>
        <v>1.3</v>
      </c>
      <c r="F193" s="3">
        <f>Summary38[[#This Row],[total_risk_M03]]-Summary38[[#This Row],[total_risk_M02]]</f>
        <v>0.5</v>
      </c>
      <c r="G193" t="str">
        <f>_xlfn.XLOOKUP(Summary38[[#This Row],[loan_id]],[1]!Loans[loan_id],[1]!Loans[loan_size_band])</f>
        <v>Large</v>
      </c>
    </row>
    <row r="194" spans="1:7" x14ac:dyDescent="0.25">
      <c r="A194" t="s">
        <v>198</v>
      </c>
      <c r="B194">
        <f>IF([1]!Repayment3[[#This Row],[payment_status]]="Full",0,IF([1]!Repayment3[[#This Row],[payment_status]]="Partial",0.5,1))</f>
        <v>1</v>
      </c>
      <c r="C194">
        <f>_xlfn.XLOOKUP(Summary38[[#This Row],[loan_id]],[1]!Loans[loan_id],[1]!Loans[structural_risk])</f>
        <v>0.8</v>
      </c>
      <c r="D194">
        <f>Summary38[[#This Row],[risk_weight]]+Summary38[[#This Row],[stuctural_risk]]</f>
        <v>1.8</v>
      </c>
      <c r="E194">
        <f>_xlfn.XLOOKUP(Summary38[[#This Row],[loan_id]],[1]!Risk2[loan_id],[1]!Risk2[total_risk])</f>
        <v>1.3</v>
      </c>
      <c r="F194" s="3">
        <f>Summary38[[#This Row],[total_risk_M03]]-Summary38[[#This Row],[total_risk_M02]]</f>
        <v>0.5</v>
      </c>
      <c r="G194" t="str">
        <f>_xlfn.XLOOKUP(Summary38[[#This Row],[loan_id]],[1]!Loans[loan_id],[1]!Loans[loan_size_band])</f>
        <v>Large</v>
      </c>
    </row>
    <row r="195" spans="1:7" x14ac:dyDescent="0.25">
      <c r="A195" t="s">
        <v>199</v>
      </c>
      <c r="B195">
        <f>IF([1]!Repayment3[[#This Row],[payment_status]]="Full",0,IF([1]!Repayment3[[#This Row],[payment_status]]="Partial",0.5,1))</f>
        <v>1</v>
      </c>
      <c r="C195">
        <f>_xlfn.XLOOKUP(Summary38[[#This Row],[loan_id]],[1]!Loans[loan_id],[1]!Loans[structural_risk])</f>
        <v>0.8</v>
      </c>
      <c r="D195">
        <f>Summary38[[#This Row],[risk_weight]]+Summary38[[#This Row],[stuctural_risk]]</f>
        <v>1.8</v>
      </c>
      <c r="E195">
        <f>_xlfn.XLOOKUP(Summary38[[#This Row],[loan_id]],[1]!Risk2[loan_id],[1]!Risk2[total_risk])</f>
        <v>1.3</v>
      </c>
      <c r="F195" s="3">
        <f>Summary38[[#This Row],[total_risk_M03]]-Summary38[[#This Row],[total_risk_M02]]</f>
        <v>0.5</v>
      </c>
      <c r="G195" t="str">
        <f>_xlfn.XLOOKUP(Summary38[[#This Row],[loan_id]],[1]!Loans[loan_id],[1]!Loans[loan_size_band])</f>
        <v>Large</v>
      </c>
    </row>
    <row r="196" spans="1:7" x14ac:dyDescent="0.25">
      <c r="A196" t="s">
        <v>200</v>
      </c>
      <c r="B196">
        <f>IF([1]!Repayment3[[#This Row],[payment_status]]="Full",0,IF([1]!Repayment3[[#This Row],[payment_status]]="Partial",0.5,1))</f>
        <v>1</v>
      </c>
      <c r="C196">
        <f>_xlfn.XLOOKUP(Summary38[[#This Row],[loan_id]],[1]!Loans[loan_id],[1]!Loans[structural_risk])</f>
        <v>0.8</v>
      </c>
      <c r="D196">
        <f>Summary38[[#This Row],[risk_weight]]+Summary38[[#This Row],[stuctural_risk]]</f>
        <v>1.8</v>
      </c>
      <c r="E196">
        <f>_xlfn.XLOOKUP(Summary38[[#This Row],[loan_id]],[1]!Risk2[loan_id],[1]!Risk2[total_risk])</f>
        <v>1.3</v>
      </c>
      <c r="F196" s="3">
        <f>Summary38[[#This Row],[total_risk_M03]]-Summary38[[#This Row],[total_risk_M02]]</f>
        <v>0.5</v>
      </c>
      <c r="G196" t="str">
        <f>_xlfn.XLOOKUP(Summary38[[#This Row],[loan_id]],[1]!Loans[loan_id],[1]!Loans[loan_size_band])</f>
        <v>Large</v>
      </c>
    </row>
    <row r="197" spans="1:7" x14ac:dyDescent="0.25">
      <c r="A197" t="s">
        <v>201</v>
      </c>
      <c r="B197">
        <f>IF([1]!Repayment3[[#This Row],[payment_status]]="Full",0,IF([1]!Repayment3[[#This Row],[payment_status]]="Partial",0.5,1))</f>
        <v>1</v>
      </c>
      <c r="C197">
        <f>_xlfn.XLOOKUP(Summary38[[#This Row],[loan_id]],[1]!Loans[loan_id],[1]!Loans[structural_risk])</f>
        <v>0.8</v>
      </c>
      <c r="D197">
        <f>Summary38[[#This Row],[risk_weight]]+Summary38[[#This Row],[stuctural_risk]]</f>
        <v>1.8</v>
      </c>
      <c r="E197">
        <f>_xlfn.XLOOKUP(Summary38[[#This Row],[loan_id]],[1]!Risk2[loan_id],[1]!Risk2[total_risk])</f>
        <v>1.3</v>
      </c>
      <c r="F197" s="3">
        <f>Summary38[[#This Row],[total_risk_M03]]-Summary38[[#This Row],[total_risk_M02]]</f>
        <v>0.5</v>
      </c>
      <c r="G197" t="str">
        <f>_xlfn.XLOOKUP(Summary38[[#This Row],[loan_id]],[1]!Loans[loan_id],[1]!Loans[loan_size_band])</f>
        <v>Large</v>
      </c>
    </row>
    <row r="198" spans="1:7" x14ac:dyDescent="0.25">
      <c r="A198" t="s">
        <v>202</v>
      </c>
      <c r="B198">
        <f>IF([1]!Repayment3[[#This Row],[payment_status]]="Full",0,IF([1]!Repayment3[[#This Row],[payment_status]]="Partial",0.5,1))</f>
        <v>1</v>
      </c>
      <c r="C198">
        <f>_xlfn.XLOOKUP(Summary38[[#This Row],[loan_id]],[1]!Loans[loan_id],[1]!Loans[structural_risk])</f>
        <v>0.8</v>
      </c>
      <c r="D198">
        <f>Summary38[[#This Row],[risk_weight]]+Summary38[[#This Row],[stuctural_risk]]</f>
        <v>1.8</v>
      </c>
      <c r="E198">
        <f>_xlfn.XLOOKUP(Summary38[[#This Row],[loan_id]],[1]!Risk2[loan_id],[1]!Risk2[total_risk])</f>
        <v>1.3</v>
      </c>
      <c r="F198" s="3">
        <f>Summary38[[#This Row],[total_risk_M03]]-Summary38[[#This Row],[total_risk_M02]]</f>
        <v>0.5</v>
      </c>
      <c r="G198" t="str">
        <f>_xlfn.XLOOKUP(Summary38[[#This Row],[loan_id]],[1]!Loans[loan_id],[1]!Loans[loan_size_band])</f>
        <v>Large</v>
      </c>
    </row>
    <row r="199" spans="1:7" x14ac:dyDescent="0.25">
      <c r="A199" t="s">
        <v>203</v>
      </c>
      <c r="B199">
        <f>IF([1]!Repayment3[[#This Row],[payment_status]]="Full",0,IF([1]!Repayment3[[#This Row],[payment_status]]="Partial",0.5,1))</f>
        <v>1</v>
      </c>
      <c r="C199">
        <f>_xlfn.XLOOKUP(Summary38[[#This Row],[loan_id]],[1]!Loans[loan_id],[1]!Loans[structural_risk])</f>
        <v>0.8</v>
      </c>
      <c r="D199">
        <f>Summary38[[#This Row],[risk_weight]]+Summary38[[#This Row],[stuctural_risk]]</f>
        <v>1.8</v>
      </c>
      <c r="E199">
        <f>_xlfn.XLOOKUP(Summary38[[#This Row],[loan_id]],[1]!Risk2[loan_id],[1]!Risk2[total_risk])</f>
        <v>1.3</v>
      </c>
      <c r="F199" s="3">
        <f>Summary38[[#This Row],[total_risk_M03]]-Summary38[[#This Row],[total_risk_M02]]</f>
        <v>0.5</v>
      </c>
      <c r="G199" t="str">
        <f>_xlfn.XLOOKUP(Summary38[[#This Row],[loan_id]],[1]!Loans[loan_id],[1]!Loans[loan_size_band])</f>
        <v>Large</v>
      </c>
    </row>
    <row r="200" spans="1:7" x14ac:dyDescent="0.25">
      <c r="A200" t="s">
        <v>204</v>
      </c>
      <c r="B200">
        <f>IF([1]!Repayment3[[#This Row],[payment_status]]="Full",0,IF([1]!Repayment3[[#This Row],[payment_status]]="Partial",0.5,1))</f>
        <v>1</v>
      </c>
      <c r="C200">
        <f>_xlfn.XLOOKUP(Summary38[[#This Row],[loan_id]],[1]!Loans[loan_id],[1]!Loans[structural_risk])</f>
        <v>0.8</v>
      </c>
      <c r="D200">
        <f>Summary38[[#This Row],[risk_weight]]+Summary38[[#This Row],[stuctural_risk]]</f>
        <v>1.8</v>
      </c>
      <c r="E200">
        <f>_xlfn.XLOOKUP(Summary38[[#This Row],[loan_id]],[1]!Risk2[loan_id],[1]!Risk2[total_risk])</f>
        <v>1.3</v>
      </c>
      <c r="F200" s="3">
        <f>Summary38[[#This Row],[total_risk_M03]]-Summary38[[#This Row],[total_risk_M02]]</f>
        <v>0.5</v>
      </c>
      <c r="G200" t="str">
        <f>_xlfn.XLOOKUP(Summary38[[#This Row],[loan_id]],[1]!Loans[loan_id],[1]!Loans[loan_size_band])</f>
        <v>Large</v>
      </c>
    </row>
    <row r="201" spans="1:7" x14ac:dyDescent="0.25">
      <c r="A201" t="s">
        <v>205</v>
      </c>
      <c r="B201">
        <f>IF([1]!Repayment3[[#This Row],[payment_status]]="Full",0,IF([1]!Repayment3[[#This Row],[payment_status]]="Partial",0.5,1))</f>
        <v>1</v>
      </c>
      <c r="C201">
        <f>_xlfn.XLOOKUP(Summary38[[#This Row],[loan_id]],[1]!Loans[loan_id],[1]!Loans[structural_risk])</f>
        <v>0.8</v>
      </c>
      <c r="D201">
        <f>Summary38[[#This Row],[risk_weight]]+Summary38[[#This Row],[stuctural_risk]]</f>
        <v>1.8</v>
      </c>
      <c r="E201">
        <f>_xlfn.XLOOKUP(Summary38[[#This Row],[loan_id]],[1]!Risk2[loan_id],[1]!Risk2[total_risk])</f>
        <v>1.8</v>
      </c>
      <c r="F201" s="3">
        <f>Summary38[[#This Row],[total_risk_M03]]-Summary38[[#This Row],[total_risk_M02]]</f>
        <v>0</v>
      </c>
      <c r="G201" t="str">
        <f>_xlfn.XLOOKUP(Summary38[[#This Row],[loan_id]],[1]!Loans[loan_id],[1]!Loans[loan_size_band])</f>
        <v>Large</v>
      </c>
    </row>
    <row r="202" spans="1:7" x14ac:dyDescent="0.25">
      <c r="A202" t="s">
        <v>206</v>
      </c>
      <c r="B202">
        <f>IF([1]!Repayment3[[#This Row],[payment_status]]="Full",0,IF([1]!Repayment3[[#This Row],[payment_status]]="Partial",0.5,1))</f>
        <v>1</v>
      </c>
      <c r="C202">
        <f>_xlfn.XLOOKUP(Summary38[[#This Row],[loan_id]],[1]!Loans[loan_id],[1]!Loans[structural_risk])</f>
        <v>0.8</v>
      </c>
      <c r="D202">
        <f>Summary38[[#This Row],[risk_weight]]+Summary38[[#This Row],[stuctural_risk]]</f>
        <v>1.8</v>
      </c>
      <c r="E202">
        <f>_xlfn.XLOOKUP(Summary38[[#This Row],[loan_id]],[1]!Risk2[loan_id],[1]!Risk2[total_risk])</f>
        <v>1.8</v>
      </c>
      <c r="F202" s="3">
        <f>Summary38[[#This Row],[total_risk_M03]]-Summary38[[#This Row],[total_risk_M02]]</f>
        <v>0</v>
      </c>
      <c r="G202" t="str">
        <f>_xlfn.XLOOKUP(Summary38[[#This Row],[loan_id]],[1]!Loans[loan_id],[1]!Loans[loan_size_band])</f>
        <v>Large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Risk_Summary_M03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2026-01-03T08:29:29Z</dcterms:modified>
</cp:coreProperties>
</file>